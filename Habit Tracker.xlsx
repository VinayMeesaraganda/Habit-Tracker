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Habit Tracker" sheetId="2" r:id="rId5"/>
  </sheets>
  <definedNames/>
  <calcPr/>
</workbook>
</file>

<file path=xl/sharedStrings.xml><?xml version="1.0" encoding="utf-8"?>
<sst xmlns="http://schemas.openxmlformats.org/spreadsheetml/2006/main" count="151" uniqueCount="61">
  <si>
    <t>If You have any problem then watch this video.</t>
  </si>
  <si>
    <t xml:space="preserve">                     👇</t>
  </si>
  <si>
    <t>Tracker Guide.MOV</t>
  </si>
  <si>
    <t>INSTRUCTIONS</t>
  </si>
  <si>
    <t>ITEM</t>
  </si>
  <si>
    <t>STEPS</t>
  </si>
  <si>
    <t>SCREENSHOT</t>
  </si>
  <si>
    <r>
      <rPr>
        <rFont val="Quattrocento Sans"/>
        <b/>
        <color theme="1"/>
        <sz val="10.0"/>
      </rPr>
      <t>HABIT TRACKER</t>
    </r>
    <r>
      <rPr>
        <rFont val="Quattrocento Sans"/>
        <color theme="1"/>
        <sz val="10.0"/>
      </rPr>
      <t xml:space="preserve">
📘 𝗚𝗨𝗜𝗗𝗘
The Daily Habits section lets you track up to 20 daily habits, set monthly goals, and tick off completions each day. It’s a simple, visual way to build consistency and review your progress at a glance.
✅ 𝗦𝗧𝗘𝗣𝗦
1. Select the month you want to track
 – In the top left corner, click the date field.
 – </t>
    </r>
    <r>
      <rPr>
        <rFont val="Quattrocento Sans"/>
        <b/>
        <color theme="1"/>
        <sz val="10.0"/>
      </rPr>
      <t xml:space="preserve">In Google Sheets: </t>
    </r>
    <r>
      <rPr>
        <rFont val="Quattrocento Sans"/>
        <color theme="1"/>
        <sz val="10.0"/>
      </rPr>
      <t xml:space="preserve">Double-click to open the calendar and select the 1st of the month.
 – </t>
    </r>
    <r>
      <rPr>
        <rFont val="Quattrocento Sans"/>
        <b/>
        <color theme="1"/>
        <sz val="10.0"/>
      </rPr>
      <t xml:space="preserve">In Excel: </t>
    </r>
    <r>
      <rPr>
        <rFont val="Quattrocento Sans"/>
        <color theme="1"/>
        <sz val="10.0"/>
      </rPr>
      <t xml:space="preserve">Manually type the 1st day of the month (e.g. 1/07/2025).
 – This sets the calendar for your daily tracking.
2. In the table below, enter one habit per row:
 – Add a short habit description
 – Select a category from the dropdown
 – Enter a monthly goal (e.g. 20 times this month)
3. As you complete each habit, tick it off in the table
Watch your progress build across the month!
💡 𝗧𝗜𝗣𝗦
– If you're starting mid-month, adjust your goal to match the number of remaining days.
– The current day is automatically highlighted for easy tracking
</t>
    </r>
  </si>
  <si>
    <r>
      <rPr>
        <rFont val="Quattrocento Sans"/>
        <b/>
        <color theme="1"/>
        <sz val="10.0"/>
      </rPr>
      <t xml:space="preserve">WEEKLY HABITS
</t>
    </r>
    <r>
      <rPr>
        <rFont val="Quattrocento Sans"/>
        <color theme="1"/>
        <sz val="10.0"/>
      </rPr>
      <t xml:space="preserve">
📘 𝗚𝗨𝗜𝗗𝗘
The Weekly Habits tab helps you track up to 20 weekly habits at a time. Log your habits once per week and tick them off as you go to stay consistent and accountable.
✅ 𝗦𝗧𝗘𝗣𝗦
1. Scroll down to the Weekly Habits table (just below the Daily Habits section – see red border).
2. Enter one habit per row under the week you're tracking.
3. Throughout the week, tick off each habit as you complete it (see yellow border).
💡 𝗧𝗜𝗣
Use this section for habits you only want to track a few times per week — like workouts, laundry, or meal prep.</t>
    </r>
  </si>
  <si>
    <r>
      <rPr>
        <rFont val="Quattrocento Sans"/>
        <color theme="1"/>
        <sz val="10.0"/>
      </rPr>
      <t xml:space="preserve">📘 𝗖𝗢𝗡𝗧𝗜𝗡𝗨𝗘 𝗧𝗥𝗔𝗖𝗞𝗜𝗡𝗚
Keep tracking your habits beyond the current month by duplicating the tracker section.
✅ 𝗦𝗧𝗘𝗣𝗦
</t>
    </r>
    <r>
      <rPr>
        <rFont val="Quattrocento Sans"/>
        <b/>
        <color theme="1"/>
        <sz val="10.0"/>
      </rPr>
      <t>In Google Sheets</t>
    </r>
    <r>
      <rPr>
        <rFont val="Quattrocento Sans"/>
        <color theme="1"/>
        <sz val="10.0"/>
      </rPr>
      <t xml:space="preserve">
1. Right-click the Habit Tracker tab
2. Select Duplicate to create a copy of the tab
3. Rename the new tab with the week or month you're tracking (e.g. “July”)
4. Clear the ticks and update the habits if needed — you're ready to start fresh!
</t>
    </r>
    <r>
      <rPr>
        <rFont val="Quattrocento Sans"/>
        <b/>
        <color theme="1"/>
        <sz val="10.0"/>
      </rPr>
      <t>In Excel</t>
    </r>
    <r>
      <rPr>
        <rFont val="Quattrocento Sans"/>
        <color theme="1"/>
        <sz val="10.0"/>
      </rPr>
      <t xml:space="preserve">
1. Right-click the Habit Tracker tab at the bottom of the screen
2. Select Move or Copy
3. Tick Create a copy, then click OK
4. Rename the new tab and clear the ticks — you're good to go!
💡 𝗧𝗜𝗣
Create a new copy each month to build a full habit tracking history and spot patterns over time.</t>
    </r>
  </si>
  <si>
    <t>SUMMARY</t>
  </si>
  <si>
    <t>WEEK 1</t>
  </si>
  <si>
    <t>WEEK 2</t>
  </si>
  <si>
    <t>WEEK 3</t>
  </si>
  <si>
    <t>WEEK 4</t>
  </si>
  <si>
    <t>WEEK 5</t>
  </si>
  <si>
    <t>DAY</t>
  </si>
  <si>
    <t>COMPLETED</t>
  </si>
  <si>
    <t>- HABIT TRACKER -</t>
  </si>
  <si>
    <t>Symbol</t>
  </si>
  <si>
    <t>Days in month</t>
  </si>
  <si>
    <t>Text</t>
  </si>
  <si>
    <t>GOAL</t>
  </si>
  <si>
    <t>Monday</t>
  </si>
  <si>
    <t>M</t>
  </si>
  <si>
    <t>Tuesday</t>
  </si>
  <si>
    <t>T</t>
  </si>
  <si>
    <t>Wednesday</t>
  </si>
  <si>
    <t>W</t>
  </si>
  <si>
    <t>DAILY HABIT COUNT</t>
  </si>
  <si>
    <t>HABIT COUNT BY CATEGORY</t>
  </si>
  <si>
    <t>Thursday</t>
  </si>
  <si>
    <t>Friday</t>
  </si>
  <si>
    <t>F</t>
  </si>
  <si>
    <t>Saturday</t>
  </si>
  <si>
    <t>S</t>
  </si>
  <si>
    <t>Sunday</t>
  </si>
  <si>
    <t>Chart-data</t>
  </si>
  <si>
    <t>Unique category</t>
  </si>
  <si>
    <t>Day</t>
  </si>
  <si>
    <t>%</t>
  </si>
  <si>
    <t>Habits</t>
  </si>
  <si>
    <t>Categories</t>
  </si>
  <si>
    <t>Goal</t>
  </si>
  <si>
    <t>Progress</t>
  </si>
  <si>
    <t>Remaining</t>
  </si>
  <si>
    <t>Line</t>
  </si>
  <si>
    <t>Category</t>
  </si>
  <si>
    <t>Week</t>
  </si>
  <si>
    <t>Completed</t>
  </si>
  <si>
    <t>Not Completed</t>
  </si>
  <si>
    <t>WEEKLY HABITS</t>
  </si>
  <si>
    <t>DAILY HABITS</t>
  </si>
  <si>
    <t>PROGRESS</t>
  </si>
  <si>
    <t>Month Goal</t>
  </si>
  <si>
    <t>wakeup 5</t>
  </si>
  <si>
    <t>Health ❤️‍🩹</t>
  </si>
  <si>
    <t>TOTAL</t>
  </si>
  <si>
    <t>OVERALL</t>
  </si>
  <si>
    <t>Daily Completed</t>
  </si>
  <si>
    <t>Daily Not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</si>
</sst>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"/>
    <numFmt numFmtId="165" formatCode="dddd"/>
    <numFmt numFmtId="166" formatCode="d"/>
  </numFmts>
  <fonts count="75">
    <font>
      <sz val="10.0"/>
      <color rgb="FF000000"/>
      <name val="Arial"/>
      <scheme val="minor"/>
    </font>
    <font>
      <color theme="1"/>
      <name val="Quattrocento Sans"/>
    </font>
    <font>
      <b/>
      <sz val="15.0"/>
      <color rgb="FF000000"/>
      <name val="Lexend"/>
    </font>
    <font/>
    <font>
      <b/>
      <sz val="12.0"/>
      <color theme="1"/>
      <name val="Lexend"/>
    </font>
    <font>
      <b/>
      <sz val="11.0"/>
      <color rgb="FF000000"/>
      <name val="Lexend"/>
    </font>
    <font>
      <b/>
      <sz val="11.0"/>
      <color rgb="FFFF0000"/>
      <name val="Lexend"/>
    </font>
    <font>
      <b/>
      <sz val="11.0"/>
      <color theme="1"/>
      <name val="Quattrocento Sans"/>
    </font>
    <font>
      <sz val="10.0"/>
      <color theme="1"/>
      <name val="Quattrocento Sans"/>
    </font>
    <font>
      <sz val="11.0"/>
      <color rgb="FF000000"/>
      <name val="&quot;Hind Madurai&quot;"/>
    </font>
    <font>
      <sz val="12.0"/>
      <color rgb="FF000000"/>
      <name val="&quot;Hind Madurai&quot;"/>
    </font>
    <font>
      <sz val="19.0"/>
      <color rgb="FF333333"/>
      <name val="&quot;Hind Madurai&quot;"/>
    </font>
    <font>
      <b/>
      <u/>
      <sz val="13.0"/>
      <color rgb="FF333333"/>
      <name val="&quot;Hind Madurai&quot;"/>
    </font>
    <font>
      <sz val="11.0"/>
      <color rgb="FF333333"/>
      <name val="&quot;Hind Madurai&quot;"/>
    </font>
    <font>
      <b/>
      <color theme="1"/>
      <name val="Quattrocento Sans"/>
    </font>
    <font>
      <b/>
      <sz val="18.0"/>
      <color rgb="FF000000"/>
      <name val="Lexend"/>
    </font>
    <font>
      <b/>
      <sz val="11.0"/>
      <color theme="1"/>
      <name val="Lexend"/>
    </font>
    <font>
      <color theme="1"/>
      <name val="Arial"/>
    </font>
    <font>
      <sz val="8.0"/>
      <color theme="1"/>
      <name val="Quattrocento Sans"/>
    </font>
    <font>
      <sz val="8.0"/>
      <color rgb="FF000000"/>
      <name val="Quattrocento Sans"/>
    </font>
    <font>
      <sz val="8.0"/>
      <color rgb="FFF1F1F1"/>
      <name val="Quattrocento Sans"/>
    </font>
    <font>
      <sz val="43.0"/>
      <color rgb="FF000000"/>
      <name val="Cormorant Garamond"/>
    </font>
    <font>
      <b/>
      <sz val="11.0"/>
      <color rgb="FF1C4587"/>
      <name val="Quattrocento Sans"/>
    </font>
    <font>
      <b/>
      <sz val="11.0"/>
      <color rgb="FF351C75"/>
      <name val="Quattrocento Sans"/>
    </font>
    <font>
      <sz val="11.0"/>
      <color theme="1"/>
      <name val="Quattrocento Sans"/>
    </font>
    <font>
      <b/>
      <sz val="11.0"/>
      <color rgb="FF0C3B43"/>
      <name val="Quattrocento Sans"/>
    </font>
    <font>
      <b/>
      <sz val="11.0"/>
      <color rgb="FF4C1130"/>
      <name val="Quattrocento Sans"/>
    </font>
    <font>
      <b/>
      <sz val="11.0"/>
      <color rgb="FF073763"/>
      <name val="Quattrocento Sans"/>
    </font>
    <font>
      <b/>
      <sz val="11.0"/>
      <color rgb="FF274E13"/>
      <name val="Quattrocento Sans"/>
    </font>
    <font>
      <i/>
      <sz val="42.0"/>
      <color theme="1"/>
      <name val="Quattrocento Sans"/>
    </font>
    <font>
      <b/>
      <sz val="14.0"/>
      <color rgb="FF1C4587"/>
      <name val="Quattrocento Sans"/>
    </font>
    <font>
      <b/>
      <sz val="8.0"/>
      <color theme="1"/>
      <name val="Quattrocento Sans"/>
    </font>
    <font>
      <b/>
      <sz val="12.0"/>
      <color theme="1"/>
      <name val="Quattrocento Sans"/>
    </font>
    <font>
      <b/>
      <sz val="12.0"/>
      <color rgb="FF4C1130"/>
      <name val="Quattrocento Sans"/>
    </font>
    <font>
      <b/>
      <sz val="12.0"/>
      <color rgb="FF073763"/>
      <name val="Quattrocento Sans"/>
    </font>
    <font>
      <b/>
      <sz val="12.0"/>
      <color rgb="FF274E13"/>
      <name val="Quattrocento Sans"/>
    </font>
    <font>
      <color rgb="FF000000"/>
      <name val="Quattrocento Sans"/>
    </font>
    <font>
      <sz val="12.0"/>
      <color theme="1"/>
      <name val="Quattrocento Sans"/>
    </font>
    <font>
      <b/>
      <sz val="8.0"/>
      <color rgb="FF000000"/>
      <name val="Quattrocento Sans"/>
    </font>
    <font>
      <b/>
      <color rgb="FF000000"/>
      <name val="Quattrocento Sans"/>
    </font>
    <font>
      <b/>
      <sz val="10.0"/>
      <color rgb="FF1D4E8C"/>
      <name val="Quattrocento Sans"/>
    </font>
    <font>
      <b/>
      <sz val="10.0"/>
      <color rgb="FF351C75"/>
      <name val="Quattrocento Sans"/>
    </font>
    <font>
      <b/>
      <sz val="10.0"/>
      <color rgb="FF0C3B43"/>
      <name val="Quattrocento Sans"/>
    </font>
    <font>
      <b/>
      <sz val="10.0"/>
      <color rgb="FF4C1130"/>
      <name val="Quattrocento Sans"/>
    </font>
    <font>
      <b/>
      <sz val="10.0"/>
      <color rgb="FF073763"/>
      <name val="Quattrocento Sans"/>
    </font>
    <font>
      <b/>
      <sz val="10.0"/>
      <color rgb="FF274E13"/>
      <name val="Quattrocento Sans"/>
    </font>
    <font>
      <b/>
      <sz val="10.0"/>
      <color theme="1"/>
      <name val="Quattrocento Sans"/>
    </font>
    <font>
      <b/>
      <sz val="10.0"/>
      <color rgb="FF000000"/>
      <name val="Quattrocento Sans"/>
    </font>
    <font>
      <b/>
      <sz val="10.0"/>
      <color rgb="FFF1F1F1"/>
      <name val="Quattrocento Sans"/>
    </font>
    <font>
      <b/>
      <sz val="8.0"/>
      <color rgb="FF1D4E8C"/>
      <name val="Quattrocento Sans"/>
    </font>
    <font>
      <b/>
      <sz val="8.0"/>
      <color rgb="FF351C75"/>
      <name val="Quattrocento Sans"/>
    </font>
    <font>
      <b/>
      <sz val="8.0"/>
      <color rgb="FF0C3B43"/>
      <name val="Quattrocento Sans"/>
    </font>
    <font>
      <b/>
      <sz val="8.0"/>
      <color rgb="FF4C1130"/>
      <name val="Quattrocento Sans"/>
    </font>
    <font>
      <b/>
      <sz val="8.0"/>
      <color rgb="FF073763"/>
      <name val="Quattrocento Sans"/>
    </font>
    <font>
      <b/>
      <sz val="8.0"/>
      <color rgb="FF274E13"/>
      <name val="Quattrocento Sans"/>
    </font>
    <font>
      <b/>
      <sz val="8.0"/>
      <color rgb="FFF1F1F1"/>
      <name val="Quattrocento Sans"/>
    </font>
    <font>
      <sz val="8.0"/>
      <color rgb="FFCBC1FF"/>
      <name val="Quattrocento Sans"/>
    </font>
    <font>
      <sz val="8.0"/>
      <color rgb="FF96DAE4"/>
      <name val="Quattrocento Sans"/>
    </font>
    <font>
      <sz val="8.0"/>
      <color rgb="FFF0A6D6"/>
      <name val="Quattrocento Sans"/>
    </font>
    <font>
      <sz val="8.0"/>
      <color rgb="FF91BEEB"/>
      <name val="Quattrocento Sans"/>
    </font>
    <font>
      <sz val="8.0"/>
      <color rgb="FFACD89D"/>
      <name val="Quattrocento Sans"/>
    </font>
    <font>
      <b/>
      <sz val="8.0"/>
      <color rgb="FF20124D"/>
      <name val="Quattrocento Sans"/>
    </font>
    <font>
      <b/>
      <sz val="8.0"/>
      <color rgb="FF0C343D"/>
      <name val="Quattrocento Sans"/>
    </font>
    <font>
      <b/>
      <sz val="8.0"/>
      <color rgb="FF1C4587"/>
      <name val="Quattrocento Sans"/>
    </font>
    <font>
      <sz val="8.0"/>
      <color rgb="FF1C4587"/>
      <name val="Quattrocento Sans"/>
    </font>
    <font>
      <b/>
      <sz val="12.0"/>
      <color rgb="FF1C4587"/>
      <name val="Quattrocento Sans"/>
    </font>
    <font>
      <b/>
      <sz val="10.0"/>
      <color rgb="FF1C4587"/>
      <name val="Quattrocento Sans"/>
    </font>
    <font>
      <b/>
      <sz val="10.0"/>
      <color rgb="FF20124D"/>
      <name val="Quattrocento Sans"/>
    </font>
    <font>
      <b/>
      <sz val="10.0"/>
      <color rgb="FF0C343D"/>
      <name val="Quattrocento Sans"/>
    </font>
    <font>
      <b/>
      <sz val="17.0"/>
      <color rgb="FFB7ABF7"/>
      <name val="Quattrocento Sans"/>
    </font>
    <font>
      <b/>
      <sz val="17.0"/>
      <color rgb="FF7AAFF2"/>
      <name val="Quattrocento Sans"/>
    </font>
    <font>
      <b/>
      <sz val="17.0"/>
      <color rgb="FF96DAE4"/>
      <name val="Quattrocento Sans"/>
    </font>
    <font>
      <b/>
      <sz val="17.0"/>
      <color rgb="FFF0A6D6"/>
      <name val="Quattrocento Sans"/>
    </font>
    <font>
      <b/>
      <sz val="17.0"/>
      <color rgb="FF91BEEB"/>
      <name val="Quattrocento Sans"/>
    </font>
    <font>
      <b/>
      <sz val="17.0"/>
      <color rgb="FFACD89D"/>
      <name val="Quattrocento Sans"/>
    </font>
  </fonts>
  <fills count="15">
    <fill>
      <patternFill patternType="none"/>
    </fill>
    <fill>
      <patternFill patternType="lightGray"/>
    </fill>
    <fill>
      <patternFill patternType="solid">
        <fgColor rgb="FFF1F1F1"/>
        <bgColor rgb="FFF1F1F1"/>
      </patternFill>
    </fill>
    <fill>
      <patternFill patternType="solid">
        <fgColor rgb="FFA4C2F4"/>
        <bgColor rgb="FFA4C2F4"/>
      </patternFill>
    </fill>
    <fill>
      <patternFill patternType="solid">
        <fgColor rgb="FFC7E1FA"/>
        <bgColor rgb="FFC7E1FA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CCDEFF"/>
        <bgColor rgb="FFCCDEFF"/>
      </patternFill>
    </fill>
    <fill>
      <patternFill patternType="solid">
        <fgColor rgb="FFE8E4FF"/>
        <bgColor rgb="FFE8E4FF"/>
      </patternFill>
    </fill>
    <fill>
      <patternFill patternType="solid">
        <fgColor rgb="FFD5F4F9"/>
        <bgColor rgb="FFD5F4F9"/>
      </patternFill>
    </fill>
    <fill>
      <patternFill patternType="solid">
        <fgColor rgb="FFFFDCF3"/>
        <bgColor rgb="FFFFDCF3"/>
      </patternFill>
    </fill>
    <fill>
      <patternFill patternType="solid">
        <fgColor rgb="FFD6EDCE"/>
        <bgColor rgb="FFD6EDCE"/>
      </patternFill>
    </fill>
    <fill>
      <patternFill patternType="solid">
        <fgColor rgb="FFC7E1FB"/>
        <bgColor rgb="FFC7E1FB"/>
      </patternFill>
    </fill>
    <fill>
      <patternFill patternType="solid">
        <fgColor rgb="FFC7E1FC"/>
        <bgColor rgb="FFC7E1FC"/>
      </patternFill>
    </fill>
  </fills>
  <borders count="42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</border>
    <border>
      <right style="medium">
        <color rgb="FFFFFFFF"/>
      </right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medium">
        <color rgb="FFFFFFFF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medium">
        <color rgb="FFFFFFFF"/>
      </right>
      <top style="thin">
        <color rgb="FFF3F3F3"/>
      </top>
      <bottom style="thin">
        <color rgb="FFF3F3F3"/>
      </bottom>
    </border>
    <border>
      <left style="medium">
        <color rgb="FFFFFFFF"/>
      </left>
      <top style="thin">
        <color rgb="FFF3F3F3"/>
      </top>
      <bottom style="medium">
        <color rgb="FFFFFFFF"/>
      </bottom>
    </border>
    <border>
      <top style="thin">
        <color rgb="FFF3F3F3"/>
      </top>
      <bottom style="medium">
        <color rgb="FFFFFFFF"/>
      </bottom>
    </border>
    <border>
      <right style="medium">
        <color rgb="FFFFFFFF"/>
      </right>
      <top style="thin">
        <color rgb="FFF3F3F3"/>
      </top>
      <bottom style="medium">
        <color rgb="FFFFFFFF"/>
      </bottom>
    </border>
    <border>
      <left style="thin">
        <color rgb="FFCCCCCC"/>
      </left>
      <bottom style="thin">
        <color rgb="FFF3F3F3"/>
      </bottom>
    </border>
    <border>
      <bottom style="thin">
        <color rgb="FFF3F3F3"/>
      </bottom>
    </border>
    <border>
      <left style="thin">
        <color rgb="FFD9D9D9"/>
      </left>
      <bottom style="thin">
        <color rgb="FFF3F3F3"/>
      </bottom>
    </border>
    <border>
      <right style="medium">
        <color rgb="FFEFEFEF"/>
      </right>
      <bottom style="thin">
        <color rgb="FFF3F3F3"/>
      </bottom>
    </border>
    <border>
      <left style="medium">
        <color rgb="FFEFEFEF"/>
      </left>
      <bottom style="thin">
        <color rgb="FFF3F3F3"/>
      </bottom>
    </border>
    <border>
      <left style="medium">
        <color rgb="FFEFEFEF"/>
      </left>
    </border>
    <border>
      <left style="thin">
        <color rgb="FFCCCCCC"/>
      </left>
      <top style="thin">
        <color rgb="FFF3F3F3"/>
      </top>
      <bottom style="thin">
        <color rgb="FFF3F3F3"/>
      </bottom>
    </border>
    <border>
      <left style="thin">
        <color rgb="FFD9D9D9"/>
      </left>
      <top style="thin">
        <color rgb="FFF3F3F3"/>
      </top>
      <bottom style="thin">
        <color rgb="FFF3F3F3"/>
      </bottom>
    </border>
    <border>
      <right style="medium">
        <color rgb="FFEFEFEF"/>
      </right>
      <top style="thin">
        <color rgb="FFF3F3F3"/>
      </top>
      <bottom style="thin">
        <color rgb="FFF3F3F3"/>
      </bottom>
    </border>
    <border>
      <left style="medium">
        <color rgb="FFFFFFFF"/>
      </left>
      <bottom style="medium">
        <color rgb="FFD9D9D9"/>
      </bottom>
    </border>
    <border>
      <bottom style="medium">
        <color rgb="FFD9D9D9"/>
      </bottom>
    </border>
    <border>
      <right style="medium">
        <color rgb="FFFFFFFF"/>
      </right>
      <bottom style="medium">
        <color rgb="FFD9D9D9"/>
      </bottom>
    </border>
    <border>
      <left style="thin">
        <color rgb="FFCCCCCC"/>
      </left>
      <top style="thin">
        <color rgb="FFF3F3F3"/>
      </top>
      <bottom style="medium">
        <color rgb="FFFFFFFF"/>
      </bottom>
    </border>
    <border>
      <left style="thin">
        <color rgb="FFD9D9D9"/>
      </left>
      <top style="thin">
        <color rgb="FFF3F3F3"/>
      </top>
      <bottom style="medium">
        <color rgb="FFFFFFFF"/>
      </bottom>
    </border>
    <border>
      <right style="medium">
        <color rgb="FFEFEFEF"/>
      </right>
      <top style="thin">
        <color rgb="FFF3F3F3"/>
      </top>
      <bottom style="medium">
        <color rgb="FFFFFFFF"/>
      </bottom>
    </border>
    <border>
      <left style="medium">
        <color rgb="FFEFEFEF"/>
      </left>
      <bottom style="medium">
        <color rgb="FFFFFFFF"/>
      </bottom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 vertical="center"/>
    </xf>
    <xf borderId="4" fillId="4" fontId="5" numFmtId="0" xfId="0" applyAlignment="1" applyBorder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4" fontId="5" numFmtId="0" xfId="0" applyAlignment="1" applyFont="1">
      <alignment horizontal="left" readingOrder="0" vertical="center"/>
    </xf>
    <xf borderId="5" fillId="0" fontId="3" numFmtId="0" xfId="0" applyBorder="1" applyFont="1"/>
    <xf borderId="4" fillId="4" fontId="7" numFmtId="0" xfId="0" applyAlignment="1" applyBorder="1" applyFont="1">
      <alignment horizontal="center" readingOrder="0" vertical="center"/>
    </xf>
    <xf borderId="0" fillId="5" fontId="8" numFmtId="0" xfId="0" applyFill="1" applyFont="1"/>
    <xf borderId="0" fillId="5" fontId="9" numFmtId="0" xfId="0" applyAlignment="1" applyFont="1">
      <alignment readingOrder="0"/>
    </xf>
    <xf borderId="0" fillId="5" fontId="10" numFmtId="0" xfId="0" applyAlignment="1" applyFont="1">
      <alignment readingOrder="0"/>
    </xf>
    <xf borderId="5" fillId="5" fontId="8" numFmtId="0" xfId="0" applyAlignment="1" applyBorder="1" applyFont="1">
      <alignment vertical="top"/>
    </xf>
    <xf borderId="4" fillId="0" fontId="3" numFmtId="0" xfId="0" applyBorder="1" applyFont="1"/>
    <xf borderId="0" fillId="5" fontId="8" numFmtId="0" xfId="0" applyAlignment="1" applyFont="1">
      <alignment horizontal="left" readingOrder="0" shrinkToFit="0" vertical="top" wrapText="1"/>
    </xf>
    <xf borderId="0" fillId="5" fontId="11" numFmtId="0" xfId="0" applyAlignment="1" applyFont="1">
      <alignment readingOrder="0"/>
    </xf>
    <xf borderId="0" fillId="5" fontId="12" numFmtId="0" xfId="0" applyAlignment="1" applyFont="1">
      <alignment readingOrder="0"/>
    </xf>
    <xf borderId="6" fillId="0" fontId="3" numFmtId="0" xfId="0" applyBorder="1" applyFont="1"/>
    <xf borderId="0" fillId="5" fontId="13" numFmtId="0" xfId="0" applyAlignment="1" applyFont="1">
      <alignment readingOrder="0"/>
    </xf>
    <xf borderId="7" fillId="0" fontId="3" numFmtId="0" xfId="0" applyBorder="1" applyFont="1"/>
    <xf borderId="0" fillId="2" fontId="14" numFmtId="0" xfId="0" applyAlignment="1" applyFont="1">
      <alignment horizontal="center" readingOrder="0" vertical="center"/>
    </xf>
    <xf borderId="0" fillId="2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vertical="top"/>
    </xf>
    <xf borderId="0" fillId="2" fontId="1" numFmtId="0" xfId="0" applyAlignment="1" applyFont="1">
      <alignment horizontal="left" vertical="top"/>
    </xf>
    <xf borderId="1" fillId="3" fontId="15" numFmtId="0" xfId="0" applyAlignment="1" applyBorder="1" applyFont="1">
      <alignment horizontal="center" readingOrder="0" vertical="center"/>
    </xf>
    <xf borderId="4" fillId="6" fontId="5" numFmtId="0" xfId="0" applyAlignment="1" applyBorder="1" applyFill="1" applyFon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4" fillId="6" fontId="7" numFmtId="0" xfId="0" applyAlignment="1" applyBorder="1" applyFont="1">
      <alignment horizontal="center" readingOrder="0" vertical="center"/>
    </xf>
    <xf borderId="0" fillId="5" fontId="8" numFmtId="0" xfId="0" applyAlignment="1" applyFont="1">
      <alignment vertical="top"/>
    </xf>
    <xf borderId="0" fillId="5" fontId="8" numFmtId="0" xfId="0" applyAlignment="1" applyFont="1">
      <alignment horizontal="left" vertical="top"/>
    </xf>
    <xf borderId="0" fillId="5" fontId="8" numFmtId="0" xfId="0" applyAlignment="1" applyFont="1">
      <alignment horizontal="center" readingOrder="0" vertical="center"/>
    </xf>
    <xf borderId="0" fillId="5" fontId="8" numFmtId="0" xfId="0" applyAlignment="1" applyFont="1">
      <alignment readingOrder="0" shrinkToFit="0" vertical="top" wrapText="1"/>
    </xf>
    <xf borderId="8" fillId="5" fontId="8" numFmtId="0" xfId="0" applyBorder="1" applyFont="1"/>
    <xf borderId="8" fillId="0" fontId="3" numFmtId="0" xfId="0" applyBorder="1" applyFont="1"/>
    <xf borderId="8" fillId="5" fontId="8" numFmtId="0" xfId="0" applyAlignment="1" applyBorder="1" applyFont="1">
      <alignment vertical="top"/>
    </xf>
    <xf borderId="8" fillId="5" fontId="8" numFmtId="0" xfId="0" applyAlignment="1" applyBorder="1" applyFont="1">
      <alignment horizontal="left" vertical="top"/>
    </xf>
    <xf borderId="7" fillId="5" fontId="8" numFmtId="0" xfId="0" applyAlignment="1" applyBorder="1" applyFont="1">
      <alignment vertical="top"/>
    </xf>
    <xf borderId="0" fillId="6" fontId="7" numFmtId="0" xfId="0" applyAlignment="1" applyFont="1">
      <alignment horizontal="center" readingOrder="0" vertical="center"/>
    </xf>
    <xf borderId="0" fillId="5" fontId="8" numFmtId="0" xfId="0" applyAlignment="1" applyFont="1">
      <alignment horizontal="center" vertical="top"/>
    </xf>
    <xf borderId="4" fillId="4" fontId="16" numFmtId="0" xfId="0" applyAlignment="1" applyBorder="1" applyFont="1">
      <alignment horizontal="center"/>
    </xf>
    <xf borderId="0" fillId="4" fontId="16" numFmtId="0" xfId="0" applyAlignment="1" applyFont="1">
      <alignment horizontal="center"/>
    </xf>
    <xf borderId="0" fillId="4" fontId="16" numFmtId="0" xfId="0" applyAlignment="1" applyFont="1">
      <alignment horizontal="center"/>
    </xf>
    <xf borderId="4" fillId="4" fontId="7" numFmtId="0" xfId="0" applyAlignment="1" applyBorder="1" applyFont="1">
      <alignment horizontal="center"/>
    </xf>
    <xf borderId="0" fillId="5" fontId="17" numFmtId="0" xfId="0" applyAlignment="1" applyFont="1">
      <alignment vertical="bottom"/>
    </xf>
    <xf borderId="0" fillId="5" fontId="17" numFmtId="0" xfId="0" applyAlignment="1" applyFont="1">
      <alignment vertical="top"/>
    </xf>
    <xf borderId="5" fillId="5" fontId="17" numFmtId="0" xfId="0" applyAlignment="1" applyBorder="1" applyFont="1">
      <alignment vertical="top"/>
    </xf>
    <xf borderId="8" fillId="5" fontId="17" numFmtId="0" xfId="0" applyAlignment="1" applyBorder="1" applyFont="1">
      <alignment vertical="top"/>
    </xf>
    <xf borderId="0" fillId="7" fontId="18" numFmtId="0" xfId="0" applyAlignment="1" applyFill="1" applyFont="1">
      <alignment vertical="center"/>
    </xf>
    <xf borderId="0" fillId="7" fontId="18" numFmtId="0" xfId="0" applyAlignment="1" applyFont="1">
      <alignment horizontal="center" vertical="center"/>
    </xf>
    <xf borderId="0" fillId="7" fontId="19" numFmtId="0" xfId="0" applyAlignment="1" applyFont="1">
      <alignment vertical="center"/>
    </xf>
    <xf borderId="0" fillId="7" fontId="20" numFmtId="0" xfId="0" applyAlignment="1" applyFont="1">
      <alignment vertical="center"/>
    </xf>
    <xf borderId="9" fillId="5" fontId="21" numFmtId="164" xfId="0" applyAlignment="1" applyBorder="1" applyFont="1" applyNumberFormat="1">
      <alignment horizontal="center" readingOrder="0" vertical="bottom"/>
    </xf>
    <xf borderId="10" fillId="0" fontId="3" numFmtId="0" xfId="0" applyBorder="1" applyFont="1"/>
    <xf borderId="11" fillId="0" fontId="3" numFmtId="0" xfId="0" applyBorder="1" applyFont="1"/>
    <xf borderId="9" fillId="8" fontId="22" numFmtId="0" xfId="0" applyAlignment="1" applyBorder="1" applyFill="1" applyFont="1">
      <alignment horizontal="center" readingOrder="0" vertical="center"/>
    </xf>
    <xf borderId="0" fillId="7" fontId="7" numFmtId="164" xfId="0" applyAlignment="1" applyFont="1" applyNumberFormat="1">
      <alignment horizontal="center" vertical="center"/>
    </xf>
    <xf borderId="12" fillId="9" fontId="23" numFmtId="0" xfId="0" applyAlignment="1" applyBorder="1" applyFill="1" applyFont="1">
      <alignment horizontal="center" readingOrder="0" vertical="center"/>
    </xf>
    <xf borderId="13" fillId="0" fontId="3" numFmtId="0" xfId="0" applyBorder="1" applyFont="1"/>
    <xf borderId="14" fillId="0" fontId="3" numFmtId="0" xfId="0" applyBorder="1" applyFont="1"/>
    <xf borderId="0" fillId="7" fontId="24" numFmtId="0" xfId="0" applyAlignment="1" applyFont="1">
      <alignment vertical="center"/>
    </xf>
    <xf borderId="9" fillId="10" fontId="25" numFmtId="0" xfId="0" applyAlignment="1" applyBorder="1" applyFill="1" applyFont="1">
      <alignment horizontal="center" readingOrder="0" vertical="center"/>
    </xf>
    <xf borderId="9" fillId="11" fontId="26" numFmtId="0" xfId="0" applyAlignment="1" applyBorder="1" applyFill="1" applyFont="1">
      <alignment horizontal="center" readingOrder="0" vertical="center"/>
    </xf>
    <xf borderId="9" fillId="4" fontId="27" numFmtId="0" xfId="0" applyAlignment="1" applyBorder="1" applyFont="1">
      <alignment horizontal="center" readingOrder="0" vertical="center"/>
    </xf>
    <xf borderId="9" fillId="12" fontId="28" numFmtId="0" xfId="0" applyAlignment="1" applyBorder="1" applyFill="1" applyFont="1">
      <alignment horizontal="center" readingOrder="0" vertical="center"/>
    </xf>
    <xf borderId="0" fillId="7" fontId="19" numFmtId="0" xfId="0" applyAlignment="1" applyFont="1">
      <alignment readingOrder="0" vertical="center"/>
    </xf>
    <xf borderId="0" fillId="7" fontId="19" numFmtId="165" xfId="0" applyAlignment="1" applyFont="1" applyNumberFormat="1">
      <alignment vertical="center"/>
    </xf>
    <xf borderId="0" fillId="7" fontId="19" numFmtId="0" xfId="0" applyAlignment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0" fillId="7" fontId="29" numFmtId="164" xfId="0" applyAlignment="1" applyFont="1" applyNumberFormat="1">
      <alignment horizontal="center" vertical="center"/>
    </xf>
    <xf borderId="9" fillId="5" fontId="22" numFmtId="9" xfId="0" applyAlignment="1" applyBorder="1" applyFont="1" applyNumberFormat="1">
      <alignment horizontal="center" readingOrder="0" vertical="center"/>
    </xf>
    <xf borderId="10" fillId="0" fontId="30" numFmtId="0" xfId="0" applyAlignment="1" applyBorder="1" applyFont="1">
      <alignment horizontal="center" vertical="bottom"/>
    </xf>
    <xf borderId="0" fillId="7" fontId="31" numFmtId="164" xfId="0" applyAlignment="1" applyFont="1" applyNumberFormat="1">
      <alignment horizontal="center" vertical="center"/>
    </xf>
    <xf borderId="15" fillId="5" fontId="23" numFmtId="9" xfId="0" applyAlignment="1" applyBorder="1" applyFont="1" applyNumberFormat="1">
      <alignment horizontal="center" vertical="center"/>
    </xf>
    <xf borderId="15" fillId="5" fontId="32" numFmtId="9" xfId="0" applyAlignment="1" applyBorder="1" applyFont="1" applyNumberFormat="1">
      <alignment horizontal="center" vertical="center"/>
    </xf>
    <xf borderId="15" fillId="5" fontId="33" numFmtId="9" xfId="0" applyAlignment="1" applyBorder="1" applyFont="1" applyNumberFormat="1">
      <alignment horizontal="center" vertical="center"/>
    </xf>
    <xf borderId="15" fillId="5" fontId="34" numFmtId="9" xfId="0" applyAlignment="1" applyBorder="1" applyFont="1" applyNumberFormat="1">
      <alignment horizontal="center" vertical="center"/>
    </xf>
    <xf borderId="15" fillId="5" fontId="35" numFmtId="9" xfId="0" applyAlignment="1" applyBorder="1" applyFont="1" applyNumberFormat="1">
      <alignment horizontal="center" vertical="center"/>
    </xf>
    <xf borderId="0" fillId="7" fontId="36" numFmtId="0" xfId="0" applyAlignment="1" applyFont="1">
      <alignment readingOrder="0"/>
    </xf>
    <xf borderId="0" fillId="5" fontId="18" numFmtId="0" xfId="0" applyAlignment="1" applyFont="1">
      <alignment horizontal="center" readingOrder="0" vertical="top"/>
    </xf>
    <xf borderId="15" fillId="0" fontId="37" numFmtId="0" xfId="0" applyAlignment="1" applyBorder="1" applyFont="1">
      <alignment horizontal="center" readingOrder="0" vertical="top"/>
    </xf>
    <xf borderId="0" fillId="7" fontId="1" numFmtId="0" xfId="0" applyAlignment="1" applyFont="1">
      <alignment horizontal="center" readingOrder="0" vertical="center"/>
    </xf>
    <xf borderId="0" fillId="0" fontId="30" numFmtId="0" xfId="0" applyAlignment="1" applyFont="1">
      <alignment horizontal="center" vertical="bottom"/>
    </xf>
    <xf borderId="17" fillId="5" fontId="18" numFmtId="0" xfId="0" applyAlignment="1" applyBorder="1" applyFont="1">
      <alignment horizontal="center" readingOrder="0" vertical="top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7" fillId="0" fontId="1" numFmtId="0" xfId="0" applyBorder="1" applyFont="1"/>
    <xf borderId="18" fillId="0" fontId="1" numFmtId="0" xfId="0" applyBorder="1" applyFont="1"/>
    <xf borderId="12" fillId="8" fontId="22" numFmtId="0" xfId="0" applyAlignment="1" applyBorder="1" applyFont="1">
      <alignment horizontal="center" readingOrder="0" vertical="center"/>
    </xf>
    <xf borderId="15" fillId="5" fontId="18" numFmtId="0" xfId="0" applyAlignment="1" applyBorder="1" applyFont="1">
      <alignment vertical="center"/>
    </xf>
    <xf borderId="0" fillId="5" fontId="18" numFmtId="0" xfId="0" applyAlignment="1" applyFont="1">
      <alignment vertical="center"/>
    </xf>
    <xf borderId="0" fillId="5" fontId="18" numFmtId="0" xfId="0" applyAlignment="1" applyFont="1">
      <alignment horizontal="center" vertical="center"/>
    </xf>
    <xf borderId="16" fillId="5" fontId="18" numFmtId="0" xfId="0" applyAlignment="1" applyBorder="1" applyFont="1">
      <alignment vertical="center"/>
    </xf>
    <xf borderId="15" fillId="0" fontId="1" numFmtId="0" xfId="0" applyBorder="1" applyFont="1"/>
    <xf borderId="0" fillId="0" fontId="1" numFmtId="0" xfId="0" applyFont="1"/>
    <xf borderId="16" fillId="0" fontId="1" numFmtId="0" xfId="0" applyBorder="1" applyFont="1"/>
    <xf borderId="0" fillId="7" fontId="38" numFmtId="0" xfId="0" applyAlignment="1" applyFont="1">
      <alignment readingOrder="0" vertical="center"/>
    </xf>
    <xf borderId="0" fillId="7" fontId="38" numFmtId="0" xfId="0" applyAlignment="1" applyFont="1">
      <alignment vertical="center"/>
    </xf>
    <xf borderId="0" fillId="7" fontId="38" numFmtId="0" xfId="0" applyAlignment="1" applyFont="1">
      <alignment horizontal="center" vertical="center"/>
    </xf>
    <xf borderId="0" fillId="7" fontId="39" numFmtId="0" xfId="0" applyAlignment="1" applyFont="1">
      <alignment readingOrder="0"/>
    </xf>
    <xf borderId="0" fillId="7" fontId="39" numFmtId="0" xfId="0" applyFont="1"/>
    <xf borderId="0" fillId="7" fontId="36" numFmtId="0" xfId="0" applyFont="1"/>
    <xf borderId="0" fillId="7" fontId="19" numFmtId="166" xfId="0" applyAlignment="1" applyFont="1" applyNumberFormat="1">
      <alignment vertical="center"/>
    </xf>
    <xf borderId="0" fillId="7" fontId="19" numFmtId="9" xfId="0" applyAlignment="1" applyFont="1" applyNumberFormat="1">
      <alignment vertical="center"/>
    </xf>
    <xf borderId="19" fillId="5" fontId="1" numFmtId="0" xfId="0" applyBorder="1" applyFont="1"/>
    <xf borderId="17" fillId="5" fontId="1" numFmtId="0" xfId="0" applyBorder="1" applyFont="1"/>
    <xf borderId="17" fillId="5" fontId="18" numFmtId="0" xfId="0" applyAlignment="1" applyBorder="1" applyFont="1">
      <alignment horizontal="center" vertical="center"/>
    </xf>
    <xf borderId="17" fillId="5" fontId="18" numFmtId="0" xfId="0" applyAlignment="1" applyBorder="1" applyFont="1">
      <alignment vertical="center"/>
    </xf>
    <xf borderId="18" fillId="5" fontId="18" numFmtId="0" xfId="0" applyAlignment="1" applyBorder="1" applyFont="1">
      <alignment vertical="center"/>
    </xf>
    <xf borderId="0" fillId="7" fontId="1" numFmtId="0" xfId="0" applyFont="1"/>
    <xf borderId="19" fillId="0" fontId="1" numFmtId="0" xfId="0" applyBorder="1" applyFont="1"/>
    <xf borderId="0" fillId="7" fontId="19" numFmtId="3" xfId="0" applyAlignment="1" applyFont="1" applyNumberFormat="1">
      <alignment vertical="center"/>
    </xf>
    <xf borderId="0" fillId="7" fontId="8" numFmtId="0" xfId="0" applyAlignment="1" applyFont="1">
      <alignment vertical="center"/>
    </xf>
    <xf borderId="9" fillId="8" fontId="40" numFmtId="0" xfId="0" applyAlignment="1" applyBorder="1" applyFont="1">
      <alignment horizontal="center" readingOrder="0" vertical="center"/>
    </xf>
    <xf borderId="9" fillId="9" fontId="41" numFmtId="0" xfId="0" applyAlignment="1" applyBorder="1" applyFont="1">
      <alignment horizontal="center" readingOrder="0" vertical="center"/>
    </xf>
    <xf borderId="9" fillId="10" fontId="42" numFmtId="0" xfId="0" applyAlignment="1" applyBorder="1" applyFont="1">
      <alignment horizontal="center" readingOrder="0" vertical="center"/>
    </xf>
    <xf borderId="9" fillId="11" fontId="43" numFmtId="0" xfId="0" applyAlignment="1" applyBorder="1" applyFont="1">
      <alignment horizontal="center" readingOrder="0" vertical="center"/>
    </xf>
    <xf borderId="9" fillId="4" fontId="44" numFmtId="0" xfId="0" applyAlignment="1" applyBorder="1" applyFont="1">
      <alignment horizontal="center" readingOrder="0" vertical="center"/>
    </xf>
    <xf borderId="9" fillId="12" fontId="45" numFmtId="0" xfId="0" applyAlignment="1" applyBorder="1" applyFont="1">
      <alignment horizontal="center" readingOrder="0" vertical="center"/>
    </xf>
    <xf borderId="9" fillId="8" fontId="40" numFmtId="0" xfId="0" applyAlignment="1" applyBorder="1" applyFont="1">
      <alignment horizontal="center" readingOrder="0" shrinkToFit="0" vertical="center" wrapText="1"/>
    </xf>
    <xf borderId="0" fillId="7" fontId="46" numFmtId="0" xfId="0" applyAlignment="1" applyFont="1">
      <alignment horizontal="center" readingOrder="0" shrinkToFit="0" vertical="center" wrapText="1"/>
    </xf>
    <xf borderId="0" fillId="7" fontId="47" numFmtId="0" xfId="0" applyAlignment="1" applyFont="1">
      <alignment horizontal="center" readingOrder="0" shrinkToFit="0" vertical="center" wrapText="1"/>
    </xf>
    <xf borderId="0" fillId="7" fontId="48" numFmtId="0" xfId="0" applyAlignment="1" applyFont="1">
      <alignment horizontal="center" readingOrder="0" shrinkToFit="0" vertical="center" wrapText="1"/>
    </xf>
    <xf borderId="15" fillId="8" fontId="49" numFmtId="0" xfId="0" applyAlignment="1" applyBorder="1" applyFont="1">
      <alignment horizontal="left" readingOrder="0" vertical="center"/>
    </xf>
    <xf borderId="0" fillId="8" fontId="49" numFmtId="0" xfId="0" applyAlignment="1" applyFont="1">
      <alignment horizontal="center" readingOrder="0" vertical="center"/>
    </xf>
    <xf borderId="0" fillId="8" fontId="49" numFmtId="0" xfId="0" applyAlignment="1" applyFont="1">
      <alignment horizontal="center" readingOrder="0" shrinkToFit="0" vertical="center" wrapText="1"/>
    </xf>
    <xf borderId="15" fillId="9" fontId="50" numFmtId="165" xfId="0" applyAlignment="1" applyBorder="1" applyFont="1" applyNumberFormat="1">
      <alignment horizontal="center" readingOrder="0" vertical="center"/>
    </xf>
    <xf borderId="0" fillId="9" fontId="50" numFmtId="165" xfId="0" applyAlignment="1" applyFont="1" applyNumberFormat="1">
      <alignment horizontal="center" readingOrder="0" vertical="center"/>
    </xf>
    <xf borderId="16" fillId="9" fontId="50" numFmtId="165" xfId="0" applyAlignment="1" applyBorder="1" applyFont="1" applyNumberFormat="1">
      <alignment horizontal="center" readingOrder="0" vertical="center"/>
    </xf>
    <xf borderId="15" fillId="10" fontId="51" numFmtId="165" xfId="0" applyAlignment="1" applyBorder="1" applyFont="1" applyNumberFormat="1">
      <alignment horizontal="center" readingOrder="0" vertical="center"/>
    </xf>
    <xf borderId="0" fillId="10" fontId="51" numFmtId="165" xfId="0" applyAlignment="1" applyFont="1" applyNumberFormat="1">
      <alignment horizontal="center" readingOrder="0" vertical="center"/>
    </xf>
    <xf borderId="16" fillId="10" fontId="51" numFmtId="165" xfId="0" applyAlignment="1" applyBorder="1" applyFont="1" applyNumberFormat="1">
      <alignment horizontal="center" readingOrder="0" vertical="center"/>
    </xf>
    <xf borderId="15" fillId="11" fontId="52" numFmtId="165" xfId="0" applyAlignment="1" applyBorder="1" applyFont="1" applyNumberFormat="1">
      <alignment horizontal="center" readingOrder="0" vertical="center"/>
    </xf>
    <xf borderId="0" fillId="11" fontId="52" numFmtId="165" xfId="0" applyAlignment="1" applyFont="1" applyNumberFormat="1">
      <alignment horizontal="center" readingOrder="0" vertical="center"/>
    </xf>
    <xf borderId="16" fillId="11" fontId="52" numFmtId="165" xfId="0" applyAlignment="1" applyBorder="1" applyFont="1" applyNumberFormat="1">
      <alignment horizontal="center" readingOrder="0" vertical="center"/>
    </xf>
    <xf borderId="15" fillId="4" fontId="53" numFmtId="165" xfId="0" applyAlignment="1" applyBorder="1" applyFont="1" applyNumberFormat="1">
      <alignment horizontal="center" readingOrder="0" vertical="center"/>
    </xf>
    <xf borderId="0" fillId="4" fontId="53" numFmtId="165" xfId="0" applyAlignment="1" applyFont="1" applyNumberFormat="1">
      <alignment horizontal="center" readingOrder="0" vertical="center"/>
    </xf>
    <xf borderId="16" fillId="4" fontId="53" numFmtId="165" xfId="0" applyAlignment="1" applyBorder="1" applyFont="1" applyNumberFormat="1">
      <alignment horizontal="center" readingOrder="0" vertical="center"/>
    </xf>
    <xf borderId="15" fillId="12" fontId="54" numFmtId="165" xfId="0" applyAlignment="1" applyBorder="1" applyFont="1" applyNumberFormat="1">
      <alignment horizontal="center" readingOrder="0" vertical="center"/>
    </xf>
    <xf borderId="0" fillId="12" fontId="54" numFmtId="165" xfId="0" applyAlignment="1" applyFont="1" applyNumberFormat="1">
      <alignment horizontal="center" readingOrder="0" vertical="center"/>
    </xf>
    <xf borderId="16" fillId="12" fontId="54" numFmtId="165" xfId="0" applyAlignment="1" applyBorder="1" applyFont="1" applyNumberFormat="1">
      <alignment horizontal="center" readingOrder="0" vertical="center"/>
    </xf>
    <xf borderId="0" fillId="7" fontId="31" numFmtId="0" xfId="0" applyAlignment="1" applyFont="1">
      <alignment horizontal="center" readingOrder="0" vertical="center"/>
    </xf>
    <xf borderId="0" fillId="7" fontId="38" numFmtId="0" xfId="0" applyAlignment="1" applyFont="1">
      <alignment horizontal="center" readingOrder="0" vertical="center"/>
    </xf>
    <xf borderId="0" fillId="7" fontId="55" numFmtId="0" xfId="0" applyAlignment="1" applyFont="1">
      <alignment horizontal="center" readingOrder="0" vertical="center"/>
    </xf>
    <xf borderId="15" fillId="9" fontId="50" numFmtId="166" xfId="0" applyAlignment="1" applyBorder="1" applyFont="1" applyNumberFormat="1">
      <alignment horizontal="center" readingOrder="0" vertical="center"/>
    </xf>
    <xf borderId="0" fillId="9" fontId="50" numFmtId="166" xfId="0" applyAlignment="1" applyFont="1" applyNumberFormat="1">
      <alignment horizontal="center" readingOrder="0" vertical="center"/>
    </xf>
    <xf borderId="16" fillId="9" fontId="50" numFmtId="166" xfId="0" applyAlignment="1" applyBorder="1" applyFont="1" applyNumberFormat="1">
      <alignment horizontal="center" readingOrder="0" vertical="center"/>
    </xf>
    <xf borderId="15" fillId="10" fontId="51" numFmtId="166" xfId="0" applyAlignment="1" applyBorder="1" applyFont="1" applyNumberFormat="1">
      <alignment horizontal="center" readingOrder="0" vertical="center"/>
    </xf>
    <xf borderId="0" fillId="10" fontId="51" numFmtId="166" xfId="0" applyAlignment="1" applyFont="1" applyNumberFormat="1">
      <alignment horizontal="center" readingOrder="0" vertical="center"/>
    </xf>
    <xf borderId="16" fillId="10" fontId="51" numFmtId="166" xfId="0" applyAlignment="1" applyBorder="1" applyFont="1" applyNumberFormat="1">
      <alignment horizontal="center" readingOrder="0" vertical="center"/>
    </xf>
    <xf borderId="15" fillId="11" fontId="52" numFmtId="166" xfId="0" applyAlignment="1" applyBorder="1" applyFont="1" applyNumberFormat="1">
      <alignment horizontal="center" readingOrder="0" vertical="center"/>
    </xf>
    <xf borderId="0" fillId="11" fontId="52" numFmtId="166" xfId="0" applyAlignment="1" applyFont="1" applyNumberFormat="1">
      <alignment horizontal="center" readingOrder="0" vertical="center"/>
    </xf>
    <xf borderId="16" fillId="11" fontId="52" numFmtId="166" xfId="0" applyAlignment="1" applyBorder="1" applyFont="1" applyNumberFormat="1">
      <alignment horizontal="center" readingOrder="0" vertical="center"/>
    </xf>
    <xf borderId="15" fillId="4" fontId="53" numFmtId="166" xfId="0" applyAlignment="1" applyBorder="1" applyFont="1" applyNumberFormat="1">
      <alignment horizontal="center" readingOrder="0" vertical="center"/>
    </xf>
    <xf borderId="0" fillId="4" fontId="53" numFmtId="166" xfId="0" applyAlignment="1" applyFont="1" applyNumberFormat="1">
      <alignment horizontal="center" readingOrder="0" vertical="center"/>
    </xf>
    <xf borderId="16" fillId="4" fontId="53" numFmtId="166" xfId="0" applyAlignment="1" applyBorder="1" applyFont="1" applyNumberFormat="1">
      <alignment horizontal="center" readingOrder="0" vertical="center"/>
    </xf>
    <xf borderId="15" fillId="12" fontId="54" numFmtId="166" xfId="0" applyAlignment="1" applyBorder="1" applyFont="1" applyNumberFormat="1">
      <alignment horizontal="center" readingOrder="0" vertical="center"/>
    </xf>
    <xf borderId="0" fillId="12" fontId="54" numFmtId="166" xfId="0" applyAlignment="1" applyFont="1" applyNumberFormat="1">
      <alignment horizontal="center" readingOrder="0" vertical="center"/>
    </xf>
    <xf borderId="16" fillId="12" fontId="54" numFmtId="166" xfId="0" applyAlignment="1" applyBorder="1" applyFont="1" applyNumberFormat="1">
      <alignment horizontal="center" readingOrder="0" vertical="center"/>
    </xf>
    <xf borderId="0" fillId="7" fontId="18" numFmtId="0" xfId="0" applyAlignment="1" applyFont="1">
      <alignment readingOrder="0" vertical="center"/>
    </xf>
    <xf borderId="20" fillId="5" fontId="18" numFmtId="0" xfId="0" applyAlignment="1" applyBorder="1" applyFont="1">
      <alignment horizontal="left" readingOrder="0" vertical="center"/>
    </xf>
    <xf borderId="21" fillId="0" fontId="3" numFmtId="0" xfId="0" applyBorder="1" applyFont="1"/>
    <xf borderId="21" fillId="5" fontId="18" numFmtId="0" xfId="0" applyAlignment="1" applyBorder="1" applyFont="1">
      <alignment horizontal="center" readingOrder="0" vertical="center"/>
    </xf>
    <xf borderId="21" fillId="5" fontId="56" numFmtId="0" xfId="0" applyAlignment="1" applyBorder="1" applyFont="1">
      <alignment readingOrder="0" vertical="center"/>
    </xf>
    <xf borderId="21" fillId="5" fontId="57" numFmtId="0" xfId="0" applyAlignment="1" applyBorder="1" applyFont="1">
      <alignment vertical="center"/>
    </xf>
    <xf borderId="21" fillId="5" fontId="58" numFmtId="0" xfId="0" applyAlignment="1" applyBorder="1" applyFont="1">
      <alignment vertical="center"/>
    </xf>
    <xf borderId="21" fillId="5" fontId="59" numFmtId="0" xfId="0" applyAlignment="1" applyBorder="1" applyFont="1">
      <alignment readingOrder="0" vertical="center"/>
    </xf>
    <xf borderId="21" fillId="5" fontId="60" numFmtId="0" xfId="0" applyAlignment="1" applyBorder="1" applyFont="1">
      <alignment vertical="center"/>
    </xf>
    <xf borderId="21" fillId="5" fontId="19" numFmtId="0" xfId="0" applyAlignment="1" applyBorder="1" applyFont="1">
      <alignment horizontal="center" vertical="center"/>
    </xf>
    <xf borderId="21" fillId="5" fontId="19" numFmtId="0" xfId="0" applyAlignment="1" applyBorder="1" applyFont="1">
      <alignment textRotation="0" vertical="center"/>
    </xf>
    <xf borderId="21" fillId="5" fontId="19" numFmtId="9" xfId="0" applyAlignment="1" applyBorder="1" applyFont="1" applyNumberFormat="1">
      <alignment horizontal="center" vertical="center"/>
    </xf>
    <xf borderId="22" fillId="0" fontId="3" numFmtId="0" xfId="0" applyBorder="1" applyFont="1"/>
    <xf borderId="21" fillId="5" fontId="57" numFmtId="0" xfId="0" applyAlignment="1" applyBorder="1" applyFont="1">
      <alignment readingOrder="0" vertical="center"/>
    </xf>
    <xf borderId="23" fillId="5" fontId="18" numFmtId="0" xfId="0" applyAlignment="1" applyBorder="1" applyFont="1">
      <alignment horizontal="left" readingOrder="0" vertical="center"/>
    </xf>
    <xf borderId="24" fillId="0" fontId="3" numFmtId="0" xfId="0" applyBorder="1" applyFont="1"/>
    <xf borderId="24" fillId="5" fontId="18" numFmtId="0" xfId="0" applyAlignment="1" applyBorder="1" applyFont="1">
      <alignment horizontal="center" readingOrder="0" vertical="center"/>
    </xf>
    <xf borderId="24" fillId="5" fontId="56" numFmtId="0" xfId="0" applyAlignment="1" applyBorder="1" applyFont="1">
      <alignment readingOrder="0" vertical="center"/>
    </xf>
    <xf borderId="24" fillId="5" fontId="57" numFmtId="0" xfId="0" applyAlignment="1" applyBorder="1" applyFont="1">
      <alignment vertical="center"/>
    </xf>
    <xf borderId="24" fillId="5" fontId="58" numFmtId="0" xfId="0" applyAlignment="1" applyBorder="1" applyFont="1">
      <alignment vertical="center"/>
    </xf>
    <xf borderId="24" fillId="5" fontId="59" numFmtId="0" xfId="0" applyAlignment="1" applyBorder="1" applyFont="1">
      <alignment readingOrder="0" vertical="center"/>
    </xf>
    <xf borderId="24" fillId="5" fontId="60" numFmtId="0" xfId="0" applyAlignment="1" applyBorder="1" applyFont="1">
      <alignment vertical="center"/>
    </xf>
    <xf borderId="24" fillId="5" fontId="19" numFmtId="0" xfId="0" applyAlignment="1" applyBorder="1" applyFont="1">
      <alignment horizontal="center" vertical="center"/>
    </xf>
    <xf borderId="24" fillId="5" fontId="19" numFmtId="0" xfId="0" applyAlignment="1" applyBorder="1" applyFont="1">
      <alignment vertical="center"/>
    </xf>
    <xf borderId="24" fillId="5" fontId="19" numFmtId="9" xfId="0" applyAlignment="1" applyBorder="1" applyFont="1" applyNumberFormat="1">
      <alignment horizontal="center" vertical="center"/>
    </xf>
    <xf borderId="25" fillId="0" fontId="3" numFmtId="0" xfId="0" applyBorder="1" applyFont="1"/>
    <xf borderId="9" fillId="8" fontId="53" numFmtId="0" xfId="0" applyAlignment="1" applyBorder="1" applyFont="1">
      <alignment horizontal="center" readingOrder="0" vertical="center"/>
    </xf>
    <xf borderId="9" fillId="9" fontId="61" numFmtId="0" xfId="0" applyAlignment="1" applyBorder="1" applyFont="1">
      <alignment horizontal="center" vertical="center"/>
    </xf>
    <xf borderId="10" fillId="9" fontId="61" numFmtId="0" xfId="0" applyAlignment="1" applyBorder="1" applyFont="1">
      <alignment horizontal="center" vertical="center"/>
    </xf>
    <xf borderId="11" fillId="9" fontId="61" numFmtId="0" xfId="0" applyAlignment="1" applyBorder="1" applyFont="1">
      <alignment horizontal="center" vertical="center"/>
    </xf>
    <xf borderId="9" fillId="10" fontId="62" numFmtId="0" xfId="0" applyAlignment="1" applyBorder="1" applyFont="1">
      <alignment horizontal="center" vertical="center"/>
    </xf>
    <xf borderId="10" fillId="10" fontId="62" numFmtId="0" xfId="0" applyAlignment="1" applyBorder="1" applyFont="1">
      <alignment horizontal="center" vertical="center"/>
    </xf>
    <xf borderId="11" fillId="10" fontId="62" numFmtId="0" xfId="0" applyAlignment="1" applyBorder="1" applyFont="1">
      <alignment horizontal="center" vertical="center"/>
    </xf>
    <xf borderId="9" fillId="11" fontId="52" numFmtId="0" xfId="0" applyAlignment="1" applyBorder="1" applyFont="1">
      <alignment horizontal="center" vertical="center"/>
    </xf>
    <xf borderId="10" fillId="11" fontId="52" numFmtId="0" xfId="0" applyAlignment="1" applyBorder="1" applyFont="1">
      <alignment horizontal="center" vertical="center"/>
    </xf>
    <xf borderId="11" fillId="11" fontId="52" numFmtId="0" xfId="0" applyAlignment="1" applyBorder="1" applyFont="1">
      <alignment horizontal="center" vertical="center"/>
    </xf>
    <xf borderId="9" fillId="13" fontId="63" numFmtId="0" xfId="0" applyAlignment="1" applyBorder="1" applyFill="1" applyFont="1">
      <alignment horizontal="center" vertical="center"/>
    </xf>
    <xf borderId="10" fillId="13" fontId="63" numFmtId="0" xfId="0" applyAlignment="1" applyBorder="1" applyFont="1">
      <alignment horizontal="center" vertical="center"/>
    </xf>
    <xf borderId="11" fillId="13" fontId="63" numFmtId="0" xfId="0" applyAlignment="1" applyBorder="1" applyFont="1">
      <alignment horizontal="center" vertical="center"/>
    </xf>
    <xf borderId="9" fillId="12" fontId="54" numFmtId="0" xfId="0" applyAlignment="1" applyBorder="1" applyFont="1">
      <alignment horizontal="center" vertical="center"/>
    </xf>
    <xf borderId="10" fillId="12" fontId="54" numFmtId="0" xfId="0" applyAlignment="1" applyBorder="1" applyFont="1">
      <alignment horizontal="center" vertical="center"/>
    </xf>
    <xf borderId="11" fillId="12" fontId="54" numFmtId="0" xfId="0" applyAlignment="1" applyBorder="1" applyFont="1">
      <alignment horizontal="center" vertical="center"/>
    </xf>
    <xf borderId="9" fillId="8" fontId="63" numFmtId="0" xfId="0" applyAlignment="1" applyBorder="1" applyFont="1">
      <alignment horizontal="center" vertical="center"/>
    </xf>
    <xf borderId="10" fillId="8" fontId="64" numFmtId="0" xfId="0" applyAlignment="1" applyBorder="1" applyFont="1">
      <alignment vertical="center"/>
    </xf>
    <xf borderId="10" fillId="8" fontId="63" numFmtId="9" xfId="0" applyAlignment="1" applyBorder="1" applyFont="1" applyNumberFormat="1">
      <alignment horizontal="center" vertical="center"/>
    </xf>
    <xf borderId="15" fillId="8" fontId="53" numFmtId="0" xfId="0" applyAlignment="1" applyBorder="1" applyFont="1">
      <alignment horizontal="center" readingOrder="0" vertical="center"/>
    </xf>
    <xf borderId="15" fillId="9" fontId="61" numFmtId="3" xfId="0" applyAlignment="1" applyBorder="1" applyFont="1" applyNumberFormat="1">
      <alignment horizontal="center" vertical="center"/>
    </xf>
    <xf borderId="0" fillId="9" fontId="61" numFmtId="3" xfId="0" applyAlignment="1" applyFont="1" applyNumberFormat="1">
      <alignment horizontal="center" vertical="center"/>
    </xf>
    <xf borderId="16" fillId="9" fontId="61" numFmtId="3" xfId="0" applyAlignment="1" applyBorder="1" applyFont="1" applyNumberFormat="1">
      <alignment horizontal="center" vertical="center"/>
    </xf>
    <xf borderId="15" fillId="10" fontId="62" numFmtId="3" xfId="0" applyAlignment="1" applyBorder="1" applyFont="1" applyNumberFormat="1">
      <alignment horizontal="center" vertical="center"/>
    </xf>
    <xf borderId="0" fillId="10" fontId="62" numFmtId="3" xfId="0" applyAlignment="1" applyFont="1" applyNumberFormat="1">
      <alignment horizontal="center" vertical="center"/>
    </xf>
    <xf borderId="16" fillId="10" fontId="62" numFmtId="3" xfId="0" applyAlignment="1" applyBorder="1" applyFont="1" applyNumberFormat="1">
      <alignment horizontal="center" vertical="center"/>
    </xf>
    <xf borderId="15" fillId="11" fontId="52" numFmtId="3" xfId="0" applyAlignment="1" applyBorder="1" applyFont="1" applyNumberFormat="1">
      <alignment horizontal="center" vertical="center"/>
    </xf>
    <xf borderId="0" fillId="11" fontId="52" numFmtId="3" xfId="0" applyAlignment="1" applyFont="1" applyNumberFormat="1">
      <alignment horizontal="center" vertical="center"/>
    </xf>
    <xf borderId="16" fillId="11" fontId="52" numFmtId="3" xfId="0" applyAlignment="1" applyBorder="1" applyFont="1" applyNumberFormat="1">
      <alignment horizontal="center" vertical="center"/>
    </xf>
    <xf borderId="15" fillId="13" fontId="63" numFmtId="3" xfId="0" applyAlignment="1" applyBorder="1" applyFont="1" applyNumberFormat="1">
      <alignment horizontal="center" vertical="center"/>
    </xf>
    <xf borderId="0" fillId="13" fontId="63" numFmtId="3" xfId="0" applyAlignment="1" applyFont="1" applyNumberFormat="1">
      <alignment horizontal="center" vertical="center"/>
    </xf>
    <xf borderId="16" fillId="13" fontId="63" numFmtId="3" xfId="0" applyAlignment="1" applyBorder="1" applyFont="1" applyNumberFormat="1">
      <alignment horizontal="center" vertical="center"/>
    </xf>
    <xf borderId="15" fillId="12" fontId="54" numFmtId="3" xfId="0" applyAlignment="1" applyBorder="1" applyFont="1" applyNumberFormat="1">
      <alignment horizontal="center" vertical="center"/>
    </xf>
    <xf borderId="0" fillId="12" fontId="54" numFmtId="3" xfId="0" applyAlignment="1" applyFont="1" applyNumberFormat="1">
      <alignment horizontal="center" vertical="center"/>
    </xf>
    <xf borderId="16" fillId="12" fontId="54" numFmtId="3" xfId="0" applyAlignment="1" applyBorder="1" applyFont="1" applyNumberFormat="1">
      <alignment horizontal="center" vertical="center"/>
    </xf>
    <xf borderId="0" fillId="8" fontId="64" numFmtId="0" xfId="0" applyAlignment="1" applyFont="1">
      <alignment vertical="center"/>
    </xf>
    <xf borderId="19" fillId="8" fontId="53" numFmtId="0" xfId="0" applyAlignment="1" applyBorder="1" applyFont="1">
      <alignment horizontal="center" readingOrder="0" vertical="center"/>
    </xf>
    <xf borderId="19" fillId="9" fontId="61" numFmtId="9" xfId="0" applyAlignment="1" applyBorder="1" applyFont="1" applyNumberFormat="1">
      <alignment horizontal="center" vertical="center"/>
    </xf>
    <xf borderId="17" fillId="9" fontId="61" numFmtId="9" xfId="0" applyAlignment="1" applyBorder="1" applyFont="1" applyNumberFormat="1">
      <alignment horizontal="center" vertical="center"/>
    </xf>
    <xf borderId="18" fillId="9" fontId="61" numFmtId="9" xfId="0" applyAlignment="1" applyBorder="1" applyFont="1" applyNumberFormat="1">
      <alignment horizontal="center" vertical="center"/>
    </xf>
    <xf borderId="19" fillId="10" fontId="62" numFmtId="9" xfId="0" applyAlignment="1" applyBorder="1" applyFont="1" applyNumberFormat="1">
      <alignment horizontal="center" vertical="center"/>
    </xf>
    <xf borderId="17" fillId="10" fontId="62" numFmtId="9" xfId="0" applyAlignment="1" applyBorder="1" applyFont="1" applyNumberFormat="1">
      <alignment horizontal="center" vertical="center"/>
    </xf>
    <xf borderId="18" fillId="10" fontId="62" numFmtId="9" xfId="0" applyAlignment="1" applyBorder="1" applyFont="1" applyNumberFormat="1">
      <alignment horizontal="center" vertical="center"/>
    </xf>
    <xf borderId="19" fillId="11" fontId="52" numFmtId="9" xfId="0" applyAlignment="1" applyBorder="1" applyFont="1" applyNumberFormat="1">
      <alignment horizontal="center" vertical="center"/>
    </xf>
    <xf borderId="17" fillId="11" fontId="52" numFmtId="9" xfId="0" applyAlignment="1" applyBorder="1" applyFont="1" applyNumberFormat="1">
      <alignment horizontal="center" vertical="center"/>
    </xf>
    <xf borderId="18" fillId="11" fontId="52" numFmtId="9" xfId="0" applyAlignment="1" applyBorder="1" applyFont="1" applyNumberFormat="1">
      <alignment horizontal="center" vertical="center"/>
    </xf>
    <xf borderId="19" fillId="13" fontId="63" numFmtId="9" xfId="0" applyAlignment="1" applyBorder="1" applyFont="1" applyNumberFormat="1">
      <alignment horizontal="center" vertical="center"/>
    </xf>
    <xf borderId="17" fillId="13" fontId="63" numFmtId="9" xfId="0" applyAlignment="1" applyBorder="1" applyFont="1" applyNumberFormat="1">
      <alignment horizontal="center" vertical="center"/>
    </xf>
    <xf borderId="18" fillId="13" fontId="63" numFmtId="9" xfId="0" applyAlignment="1" applyBorder="1" applyFont="1" applyNumberFormat="1">
      <alignment horizontal="center" vertical="center"/>
    </xf>
    <xf borderId="19" fillId="12" fontId="54" numFmtId="9" xfId="0" applyAlignment="1" applyBorder="1" applyFont="1" applyNumberFormat="1">
      <alignment horizontal="center" vertical="center"/>
    </xf>
    <xf borderId="17" fillId="12" fontId="54" numFmtId="9" xfId="0" applyAlignment="1" applyBorder="1" applyFont="1" applyNumberFormat="1">
      <alignment horizontal="center" vertical="center"/>
    </xf>
    <xf borderId="18" fillId="12" fontId="54" numFmtId="9" xfId="0" applyAlignment="1" applyBorder="1" applyFont="1" applyNumberFormat="1">
      <alignment horizontal="center" vertical="center"/>
    </xf>
    <xf borderId="17" fillId="8" fontId="64" numFmtId="0" xfId="0" applyAlignment="1" applyBorder="1" applyFont="1">
      <alignment vertical="center"/>
    </xf>
    <xf borderId="0" fillId="7" fontId="18" numFmtId="165" xfId="0" applyAlignment="1" applyFont="1" applyNumberFormat="1">
      <alignment vertical="center"/>
    </xf>
    <xf borderId="12" fillId="8" fontId="65" numFmtId="0" xfId="0" applyAlignment="1" applyBorder="1" applyFont="1">
      <alignment horizontal="center" readingOrder="0" vertical="center"/>
    </xf>
    <xf borderId="9" fillId="8" fontId="66" numFmtId="0" xfId="0" applyAlignment="1" applyBorder="1" applyFont="1">
      <alignment horizontal="center" readingOrder="0" vertical="center"/>
    </xf>
    <xf borderId="9" fillId="9" fontId="67" numFmtId="0" xfId="0" applyAlignment="1" applyBorder="1" applyFont="1">
      <alignment horizontal="center" readingOrder="0" vertical="center"/>
    </xf>
    <xf borderId="9" fillId="10" fontId="68" numFmtId="0" xfId="0" applyAlignment="1" applyBorder="1" applyFont="1">
      <alignment horizontal="center" readingOrder="0" vertical="center"/>
    </xf>
    <xf borderId="9" fillId="14" fontId="44" numFmtId="0" xfId="0" applyAlignment="1" applyBorder="1" applyFill="1" applyFont="1">
      <alignment horizontal="center" readingOrder="0" vertical="center"/>
    </xf>
    <xf borderId="9" fillId="5" fontId="31" numFmtId="0" xfId="0" applyAlignment="1" applyBorder="1" applyFont="1">
      <alignment horizontal="center" readingOrder="0" textRotation="90" vertical="center"/>
    </xf>
    <xf borderId="10" fillId="5" fontId="69" numFmtId="0" xfId="0" applyAlignment="1" applyBorder="1" applyFont="1">
      <alignment horizontal="center" readingOrder="0" vertical="bottom"/>
    </xf>
    <xf borderId="10" fillId="5" fontId="61" numFmtId="9" xfId="0" applyAlignment="1" applyBorder="1" applyFont="1" applyNumberFormat="1">
      <alignment horizontal="center" vertical="center"/>
    </xf>
    <xf borderId="26" fillId="5" fontId="18" numFmtId="0" xfId="0" applyAlignment="1" applyBorder="1" applyFont="1">
      <alignment readingOrder="0" vertical="center"/>
    </xf>
    <xf borderId="27" fillId="0" fontId="3" numFmtId="0" xfId="0" applyBorder="1" applyFont="1"/>
    <xf borderId="27" fillId="5" fontId="56" numFmtId="0" xfId="0" applyAlignment="1" applyBorder="1" applyFont="1">
      <alignment readingOrder="0" vertical="center"/>
    </xf>
    <xf borderId="28" fillId="5" fontId="18" numFmtId="0" xfId="0" applyAlignment="1" applyBorder="1" applyFont="1">
      <alignment readingOrder="0" vertical="center"/>
    </xf>
    <xf borderId="29" fillId="5" fontId="57" numFmtId="0" xfId="0" applyAlignment="1" applyBorder="1" applyFont="1">
      <alignment readingOrder="0" vertical="center"/>
    </xf>
    <xf borderId="30" fillId="5" fontId="18" numFmtId="0" xfId="0" applyAlignment="1" applyBorder="1" applyFont="1">
      <alignment readingOrder="0" vertical="center"/>
    </xf>
    <xf borderId="29" fillId="5" fontId="58" numFmtId="0" xfId="0" applyAlignment="1" applyBorder="1" applyFont="1">
      <alignment readingOrder="0" vertical="center"/>
    </xf>
    <xf borderId="27" fillId="5" fontId="18" numFmtId="0" xfId="0" applyAlignment="1" applyBorder="1" applyFont="1">
      <alignment readingOrder="0" vertical="center"/>
    </xf>
    <xf borderId="29" fillId="5" fontId="59" numFmtId="0" xfId="0" applyAlignment="1" applyBorder="1" applyFont="1">
      <alignment readingOrder="0" vertical="center"/>
    </xf>
    <xf borderId="27" fillId="5" fontId="60" numFmtId="0" xfId="0" applyAlignment="1" applyBorder="1" applyFont="1">
      <alignment readingOrder="0" vertical="center"/>
    </xf>
    <xf borderId="31" fillId="5" fontId="18" numFmtId="0" xfId="0" applyAlignment="1" applyBorder="1" applyFont="1">
      <alignment vertical="center"/>
    </xf>
    <xf borderId="32" fillId="5" fontId="18" numFmtId="0" xfId="0" applyAlignment="1" applyBorder="1" applyFont="1">
      <alignment horizontal="left" readingOrder="0" vertical="center"/>
    </xf>
    <xf borderId="21" fillId="5" fontId="18" numFmtId="0" xfId="0" applyAlignment="1" applyBorder="1" applyFont="1">
      <alignment readingOrder="0" vertical="center"/>
    </xf>
    <xf borderId="33" fillId="5" fontId="18" numFmtId="0" xfId="0" applyAlignment="1" applyBorder="1" applyFont="1">
      <alignment horizontal="left" readingOrder="0" vertical="center"/>
    </xf>
    <xf borderId="34" fillId="5" fontId="57" numFmtId="0" xfId="0" applyAlignment="1" applyBorder="1" applyFont="1">
      <alignment readingOrder="0" vertical="center"/>
    </xf>
    <xf borderId="34" fillId="5" fontId="58" numFmtId="0" xfId="0" applyAlignment="1" applyBorder="1" applyFont="1">
      <alignment readingOrder="0" vertical="center"/>
    </xf>
    <xf borderId="34" fillId="5" fontId="59" numFmtId="0" xfId="0" applyAlignment="1" applyBorder="1" applyFont="1">
      <alignment readingOrder="0" vertical="center"/>
    </xf>
    <xf borderId="21" fillId="5" fontId="60" numFmtId="0" xfId="0" applyAlignment="1" applyBorder="1" applyFont="1">
      <alignment readingOrder="0" vertical="center"/>
    </xf>
    <xf borderId="31" fillId="5" fontId="70" numFmtId="0" xfId="0" applyAlignment="1" applyBorder="1" applyFont="1">
      <alignment horizontal="center" vertical="bottom"/>
    </xf>
    <xf borderId="34" fillId="5" fontId="59" numFmtId="0" xfId="0" applyAlignment="1" applyBorder="1" applyFont="1">
      <alignment vertical="center"/>
    </xf>
    <xf borderId="31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10" fillId="5" fontId="71" numFmtId="0" xfId="0" applyAlignment="1" applyBorder="1" applyFont="1">
      <alignment horizontal="center" readingOrder="0" vertical="bottom"/>
    </xf>
    <xf borderId="10" fillId="5" fontId="63" numFmtId="9" xfId="0" applyAlignment="1" applyBorder="1" applyFont="1" applyNumberFormat="1">
      <alignment horizontal="center" vertical="center"/>
    </xf>
    <xf borderId="31" fillId="5" fontId="18" numFmtId="0" xfId="0" applyAlignment="1" applyBorder="1" applyFont="1">
      <alignment horizontal="center" readingOrder="0" vertical="top"/>
    </xf>
    <xf borderId="21" fillId="5" fontId="58" numFmtId="0" xfId="0" applyAlignment="1" applyBorder="1" applyFont="1">
      <alignment readingOrder="0" vertical="center"/>
    </xf>
    <xf borderId="10" fillId="5" fontId="72" numFmtId="0" xfId="0" applyAlignment="1" applyBorder="1" applyFont="1">
      <alignment horizontal="center" readingOrder="0" vertical="bottom"/>
    </xf>
    <xf borderId="10" fillId="5" fontId="52" numFmtId="9" xfId="0" applyAlignment="1" applyBorder="1" applyFont="1" applyNumberFormat="1">
      <alignment horizontal="center" vertical="center"/>
    </xf>
    <xf borderId="34" fillId="5" fontId="58" numFmtId="0" xfId="0" applyAlignment="1" applyBorder="1" applyFont="1">
      <alignment vertical="center"/>
    </xf>
    <xf borderId="10" fillId="5" fontId="73" numFmtId="0" xfId="0" applyAlignment="1" applyBorder="1" applyFont="1">
      <alignment horizontal="center" readingOrder="0" vertical="bottom"/>
    </xf>
    <xf borderId="10" fillId="5" fontId="53" numFmtId="9" xfId="0" applyAlignment="1" applyBorder="1" applyFont="1" applyNumberFormat="1">
      <alignment horizontal="center" vertical="center"/>
    </xf>
    <xf borderId="31" fillId="5" fontId="46" numFmtId="9" xfId="0" applyAlignment="1" applyBorder="1" applyFont="1" applyNumberFormat="1">
      <alignment horizontal="center" vertical="center"/>
    </xf>
    <xf borderId="0" fillId="5" fontId="74" numFmtId="0" xfId="0" applyAlignment="1" applyFont="1">
      <alignment horizontal="center" readingOrder="0" vertical="bottom"/>
    </xf>
    <xf borderId="10" fillId="5" fontId="54" numFmtId="9" xfId="0" applyAlignment="1" applyBorder="1" applyFont="1" applyNumberFormat="1">
      <alignment horizontal="center" vertical="center"/>
    </xf>
    <xf borderId="32" fillId="5" fontId="18" numFmtId="0" xfId="0" applyAlignment="1" applyBorder="1" applyFont="1">
      <alignment readingOrder="0" vertical="center"/>
    </xf>
    <xf borderId="33" fillId="5" fontId="18" numFmtId="0" xfId="0" applyAlignment="1" applyBorder="1" applyFont="1">
      <alignment readingOrder="0" vertical="center"/>
    </xf>
    <xf borderId="31" fillId="5" fontId="18" numFmtId="0" xfId="0" applyAlignment="1" applyBorder="1" applyFont="1">
      <alignment readingOrder="0" vertical="center"/>
    </xf>
    <xf borderId="38" fillId="5" fontId="18" numFmtId="0" xfId="0" applyAlignment="1" applyBorder="1" applyFont="1">
      <alignment readingOrder="0" vertical="center"/>
    </xf>
    <xf borderId="39" fillId="5" fontId="18" numFmtId="0" xfId="0" applyAlignment="1" applyBorder="1" applyFont="1">
      <alignment readingOrder="0" vertical="center"/>
    </xf>
    <xf borderId="40" fillId="5" fontId="57" numFmtId="0" xfId="0" applyAlignment="1" applyBorder="1" applyFont="1">
      <alignment readingOrder="0" vertical="center"/>
    </xf>
    <xf borderId="24" fillId="5" fontId="18" numFmtId="0" xfId="0" applyAlignment="1" applyBorder="1" applyFont="1">
      <alignment readingOrder="0" vertical="center"/>
    </xf>
    <xf borderId="40" fillId="5" fontId="58" numFmtId="0" xfId="0" applyAlignment="1" applyBorder="1" applyFont="1">
      <alignment vertical="center"/>
    </xf>
    <xf borderId="40" fillId="5" fontId="59" numFmtId="0" xfId="0" applyAlignment="1" applyBorder="1" applyFont="1">
      <alignment vertical="center"/>
    </xf>
    <xf borderId="24" fillId="5" fontId="60" numFmtId="0" xfId="0" applyAlignment="1" applyBorder="1" applyFont="1">
      <alignment readingOrder="0" vertical="center"/>
    </xf>
    <xf borderId="41" fillId="5" fontId="18" numFmtId="0" xfId="0" applyAlignment="1" applyBorder="1" applyFont="1">
      <alignment vertical="center"/>
    </xf>
  </cellXfs>
  <cellStyles count="1">
    <cellStyle xfId="0" name="Normal" builtinId="0"/>
  </cellStyles>
  <dxfs count="9">
    <dxf>
      <font>
        <color rgb="FFEFEFEF"/>
      </font>
      <fill>
        <patternFill patternType="none"/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F3F3F3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57C0A5"/>
          <bgColor rgb="FF57C0A5"/>
        </patternFill>
      </fill>
      <border/>
    </dxf>
    <dxf>
      <font/>
      <fill>
        <patternFill patternType="solid">
          <fgColor rgb="FFE688A7"/>
          <bgColor rgb="FFE688A7"/>
        </patternFill>
      </fill>
      <border/>
    </dxf>
    <dxf>
      <font/>
      <fill>
        <patternFill patternType="solid">
          <fgColor rgb="FF756EC2"/>
          <bgColor rgb="FF756EC2"/>
        </patternFill>
      </fill>
      <border/>
    </dxf>
    <dxf>
      <font/>
      <fill>
        <patternFill patternType="solid">
          <fgColor rgb="FFF3786E"/>
          <bgColor rgb="FFF3786E"/>
        </patternFill>
      </fill>
      <border/>
    </dxf>
    <dxf>
      <font/>
      <fill>
        <patternFill patternType="solid">
          <fgColor rgb="FF58AEC0"/>
          <bgColor rgb="FF58AEC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Completed</c:v>
          </c:tx>
          <c:spPr>
            <a:solidFill>
              <a:srgbClr val="B2CD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cat>
            <c:strRef>
              <c:f>'Habit Tracker'!$FL$18:$FL$37</c:f>
            </c:strRef>
          </c:cat>
          <c:val>
            <c:numRef>
              <c:f>'Habit Tracker'!$FN$18:$FN$37</c:f>
              <c:numCache/>
            </c:numRef>
          </c:val>
        </c:ser>
        <c:ser>
          <c:idx val="1"/>
          <c:order val="1"/>
          <c:tx>
            <c:v>Not Completed</c:v>
          </c:tx>
          <c:spPr>
            <a:solidFill>
              <a:srgbClr val="E4EE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2"/>
          </c:dPt>
          <c:cat>
            <c:strRef>
              <c:f>'Habit Tracker'!$FL$18:$FL$37</c:f>
            </c:strRef>
          </c:cat>
          <c:val>
            <c:numRef>
              <c:f>'Habit Tracker'!$FO$18:$FO$37</c:f>
              <c:numCache/>
            </c:numRef>
          </c:val>
        </c:ser>
        <c:overlap val="100"/>
        <c:axId val="2143885644"/>
        <c:axId val="964423908"/>
      </c:barChart>
      <c:catAx>
        <c:axId val="21438856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Tahoma"/>
              </a:defRPr>
            </a:pPr>
          </a:p>
        </c:txPr>
        <c:crossAx val="964423908"/>
      </c:catAx>
      <c:valAx>
        <c:axId val="964423908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143885644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Tracker'!$FX$18</c:f>
            </c:strRef>
          </c:tx>
          <c:dPt>
            <c:idx val="0"/>
            <c:spPr>
              <a:solidFill>
                <a:srgbClr val="CBC1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Tracker'!$FY$17:$FZ$17</c:f>
            </c:strRef>
          </c:cat>
          <c:val>
            <c:numRef>
              <c:f>'Habit Tracker'!$FY$18:$FZ$18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Tracker'!$FX$21</c:f>
            </c:strRef>
          </c:tx>
          <c:dPt>
            <c:idx val="0"/>
            <c:spPr>
              <a:solidFill>
                <a:srgbClr val="B0EA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Tracker'!$FY$20:$FZ$20</c:f>
            </c:strRef>
          </c:cat>
          <c:val>
            <c:numRef>
              <c:f>'Habit Tracker'!$FY$21:$FZ$21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Tracker'!$FX$24</c:f>
            </c:strRef>
          </c:tx>
          <c:dPt>
            <c:idx val="0"/>
            <c:spPr>
              <a:solidFill>
                <a:srgbClr val="FFC0E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Tracker'!$FY$23:$FZ$23</c:f>
            </c:strRef>
          </c:cat>
          <c:val>
            <c:numRef>
              <c:f>'Habit Tracker'!$FY$24:$FZ$24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Tracker'!$FX$27</c:f>
            </c:strRef>
          </c:tx>
          <c:dPt>
            <c:idx val="0"/>
            <c:spPr>
              <a:solidFill>
                <a:srgbClr val="C0DFF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Tracker'!$FY$26:$FZ$26</c:f>
            </c:strRef>
          </c:cat>
          <c:val>
            <c:numRef>
              <c:f>'Habit Tracker'!$FY$27:$FZ$27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Tracker'!$FX$33</c:f>
            </c:strRef>
          </c:tx>
          <c:dPt>
            <c:idx val="0"/>
            <c:spPr>
              <a:solidFill>
                <a:srgbClr val="B2CD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Tracker'!$FY$32:$FZ$32</c:f>
            </c:strRef>
          </c:cat>
          <c:val>
            <c:numRef>
              <c:f>'Habit Tracker'!$FY$33:$FZ$33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Tracker'!$FX$30</c:f>
            </c:strRef>
          </c:tx>
          <c:dPt>
            <c:idx val="0"/>
            <c:spPr>
              <a:solidFill>
                <a:srgbClr val="D6EDC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Tracker'!$FY$29:$FZ$29</c:f>
            </c:strRef>
          </c:cat>
          <c:val>
            <c:numRef>
              <c:f>'Habit Tracker'!$FY$30:$FZ$30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Tracker'!$GJ$34</c:f>
            </c:strRef>
          </c:tx>
          <c:dPt>
            <c:idx val="0"/>
            <c:spPr>
              <a:solidFill>
                <a:srgbClr val="B2CD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Tracker'!$GK$33:$GL$33</c:f>
            </c:strRef>
          </c:cat>
          <c:val>
            <c:numRef>
              <c:f>'Habit Tracker'!$GK$34:$GL$34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Tracker'!$GJ$31</c:f>
            </c:strRef>
          </c:tx>
          <c:dPt>
            <c:idx val="0"/>
            <c:spPr>
              <a:solidFill>
                <a:srgbClr val="D6EDC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Tracker'!$GK$30:$GL$30</c:f>
            </c:strRef>
          </c:cat>
          <c:val>
            <c:numRef>
              <c:f>'Habit Tracker'!$GK$31:$GL$31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Tracker'!$GJ$28</c:f>
            </c:strRef>
          </c:tx>
          <c:dPt>
            <c:idx val="0"/>
            <c:spPr>
              <a:solidFill>
                <a:srgbClr val="C0DFF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Tracker'!$GK$27:$GL$27</c:f>
            </c:strRef>
          </c:cat>
          <c:val>
            <c:numRef>
              <c:f>'Habit Tracker'!$GK$28:$GL$28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Tracker'!$GJ$25</c:f>
            </c:strRef>
          </c:tx>
          <c:dPt>
            <c:idx val="0"/>
            <c:spPr>
              <a:solidFill>
                <a:srgbClr val="FFBFE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Tracker'!$GK$24:$GL$24</c:f>
            </c:strRef>
          </c:cat>
          <c:val>
            <c:numRef>
              <c:f>'Habit Tracker'!$GK$25:$GL$25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Tracker'!$GJ$22</c:f>
            </c:strRef>
          </c:tx>
          <c:dPt>
            <c:idx val="0"/>
            <c:spPr>
              <a:solidFill>
                <a:srgbClr val="B0EA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Tracker'!$GK$21:$GL$21</c:f>
            </c:strRef>
          </c:cat>
          <c:val>
            <c:numRef>
              <c:f>'Habit Tracker'!$GK$22:$GL$22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'Habit Tracker'!$GJ$19</c:f>
            </c:strRef>
          </c:tx>
          <c:dPt>
            <c:idx val="0"/>
            <c:spPr>
              <a:solidFill>
                <a:srgbClr val="CBC1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Tracker'!$GK$18:$GL$18</c:f>
            </c:strRef>
          </c:cat>
          <c:val>
            <c:numRef>
              <c:f>'Habit Tracker'!$GK$19:$GL$19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0.xml"/><Relationship Id="rId10" Type="http://schemas.openxmlformats.org/officeDocument/2006/relationships/chart" Target="../charts/chart9.xml"/><Relationship Id="rId13" Type="http://schemas.openxmlformats.org/officeDocument/2006/relationships/chart" Target="../charts/chart12.xml"/><Relationship Id="rId12" Type="http://schemas.openxmlformats.org/officeDocument/2006/relationships/chart" Target="../charts/chart11.xml"/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" cy="123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9525" cy="123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724025" cy="8286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1724025" cy="5238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1724025" cy="17526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10</xdr:row>
      <xdr:rowOff>0</xdr:rowOff>
    </xdr:from>
    <xdr:ext cx="7419975" cy="2743200"/>
    <xdr:pic>
      <xdr:nvPicPr>
        <xdr:cNvPr id="147110474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47625</xdr:colOff>
      <xdr:row>10</xdr:row>
      <xdr:rowOff>0</xdr:rowOff>
    </xdr:from>
    <xdr:ext cx="7705725" cy="2743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104775</xdr:colOff>
      <xdr:row>2</xdr:row>
      <xdr:rowOff>38100</xdr:rowOff>
    </xdr:from>
    <xdr:ext cx="1333500" cy="1123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114300</xdr:colOff>
      <xdr:row>2</xdr:row>
      <xdr:rowOff>38100</xdr:rowOff>
    </xdr:from>
    <xdr:ext cx="1333500" cy="1123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32</xdr:col>
      <xdr:colOff>133350</xdr:colOff>
      <xdr:row>2</xdr:row>
      <xdr:rowOff>57150</xdr:rowOff>
    </xdr:from>
    <xdr:ext cx="1304925" cy="1085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38</xdr:col>
      <xdr:colOff>114300</xdr:colOff>
      <xdr:row>2</xdr:row>
      <xdr:rowOff>38100</xdr:rowOff>
    </xdr:from>
    <xdr:ext cx="1333500" cy="11239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114300</xdr:colOff>
      <xdr:row>2</xdr:row>
      <xdr:rowOff>38100</xdr:rowOff>
    </xdr:from>
    <xdr:ext cx="1333500" cy="11239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44</xdr:col>
      <xdr:colOff>85725</xdr:colOff>
      <xdr:row>2</xdr:row>
      <xdr:rowOff>38100</xdr:rowOff>
    </xdr:from>
    <xdr:ext cx="1333500" cy="11239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45</xdr:col>
      <xdr:colOff>238125</xdr:colOff>
      <xdr:row>71</xdr:row>
      <xdr:rowOff>47625</xdr:rowOff>
    </xdr:from>
    <xdr:ext cx="1095375" cy="92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28575</xdr:colOff>
      <xdr:row>74</xdr:row>
      <xdr:rowOff>9525</xdr:rowOff>
    </xdr:from>
    <xdr:ext cx="895350" cy="7524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28575</xdr:colOff>
      <xdr:row>70</xdr:row>
      <xdr:rowOff>9525</xdr:rowOff>
    </xdr:from>
    <xdr:ext cx="895350" cy="7524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28575</xdr:colOff>
      <xdr:row>66</xdr:row>
      <xdr:rowOff>9525</xdr:rowOff>
    </xdr:from>
    <xdr:ext cx="895350" cy="7524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8</xdr:col>
      <xdr:colOff>28575</xdr:colOff>
      <xdr:row>62</xdr:row>
      <xdr:rowOff>9525</xdr:rowOff>
    </xdr:from>
    <xdr:ext cx="895350" cy="7524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8</xdr:col>
      <xdr:colOff>28575</xdr:colOff>
      <xdr:row>58</xdr:row>
      <xdr:rowOff>9525</xdr:rowOff>
    </xdr:from>
    <xdr:ext cx="895350" cy="7524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IsM4TvXiKxL94xBXmYelk_SMYbaEhW0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6.75"/>
    <col customWidth="1" min="3" max="3" width="3.0"/>
    <col customWidth="1" min="4" max="4" width="62.63"/>
    <col customWidth="1" min="5" max="5" width="3.0"/>
    <col customWidth="1" min="6" max="6" width="4.5"/>
    <col customWidth="1" min="7" max="8" width="22.63"/>
    <col customWidth="1" min="9" max="9" width="3.13"/>
    <col customWidth="1" min="10" max="11" width="22.63"/>
    <col customWidth="1" min="12" max="12" width="4.5"/>
    <col customWidth="1" min="13" max="13" width="50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</row>
    <row r="2">
      <c r="A2" s="1"/>
      <c r="B2" s="6"/>
      <c r="C2" s="7"/>
      <c r="F2" s="8" t="s">
        <v>1</v>
      </c>
      <c r="L2" s="9"/>
    </row>
    <row r="3" ht="15.75" customHeight="1">
      <c r="A3" s="1"/>
      <c r="B3" s="10"/>
      <c r="C3" s="11"/>
      <c r="E3" s="11"/>
      <c r="F3" s="12"/>
      <c r="G3" s="13"/>
      <c r="H3" s="12"/>
      <c r="I3" s="12"/>
      <c r="J3" s="12"/>
      <c r="K3" s="12"/>
      <c r="L3" s="14"/>
    </row>
    <row r="4" ht="21.75" customHeight="1">
      <c r="A4" s="1"/>
      <c r="B4" s="15"/>
      <c r="C4" s="16"/>
      <c r="D4" s="17"/>
      <c r="E4" s="17"/>
      <c r="F4" s="17"/>
      <c r="G4" s="18" t="s">
        <v>2</v>
      </c>
      <c r="H4" s="12"/>
      <c r="I4" s="12"/>
      <c r="J4" s="12"/>
      <c r="K4" s="12"/>
      <c r="L4" s="9"/>
    </row>
    <row r="5" ht="15.75" customHeight="1">
      <c r="A5" s="1"/>
      <c r="B5" s="19"/>
      <c r="C5" s="16"/>
      <c r="D5" s="20"/>
      <c r="E5" s="16"/>
      <c r="F5" s="12"/>
      <c r="G5" s="12"/>
      <c r="H5" s="12"/>
      <c r="I5" s="12"/>
      <c r="J5" s="12"/>
      <c r="K5" s="12"/>
      <c r="L5" s="21"/>
    </row>
    <row r="6" ht="24.75" customHeight="1">
      <c r="A6" s="1"/>
      <c r="B6" s="22"/>
      <c r="C6" s="23"/>
      <c r="D6" s="23"/>
      <c r="E6" s="23"/>
      <c r="F6" s="24"/>
      <c r="G6" s="25"/>
      <c r="H6" s="25"/>
      <c r="I6" s="25"/>
      <c r="J6" s="25"/>
      <c r="K6" s="25"/>
      <c r="L6" s="24"/>
    </row>
    <row r="7">
      <c r="A7" s="1"/>
      <c r="B7" s="26" t="s">
        <v>3</v>
      </c>
      <c r="C7" s="3"/>
      <c r="D7" s="3"/>
      <c r="E7" s="3"/>
      <c r="F7" s="3"/>
      <c r="G7" s="3"/>
      <c r="H7" s="3"/>
      <c r="I7" s="3"/>
      <c r="J7" s="3"/>
      <c r="K7" s="3"/>
      <c r="L7" s="4"/>
    </row>
    <row r="8">
      <c r="A8" s="1"/>
      <c r="B8" s="27" t="s">
        <v>4</v>
      </c>
      <c r="C8" s="28" t="s">
        <v>5</v>
      </c>
      <c r="F8" s="28" t="s">
        <v>6</v>
      </c>
      <c r="L8" s="9"/>
    </row>
    <row r="9">
      <c r="A9" s="1"/>
      <c r="B9" s="29">
        <v>1.0</v>
      </c>
      <c r="C9" s="11"/>
      <c r="F9" s="30"/>
      <c r="G9" s="31"/>
      <c r="H9" s="31"/>
      <c r="I9" s="31"/>
      <c r="J9" s="31"/>
      <c r="K9" s="31"/>
      <c r="L9" s="14"/>
    </row>
    <row r="10" ht="368.25" customHeight="1">
      <c r="A10" s="1"/>
      <c r="B10" s="15"/>
      <c r="C10" s="11"/>
      <c r="D10" s="16" t="s">
        <v>7</v>
      </c>
      <c r="E10" s="11"/>
      <c r="F10" s="30"/>
      <c r="G10" s="32"/>
      <c r="L10" s="14"/>
    </row>
    <row r="11">
      <c r="A11" s="1"/>
      <c r="B11" s="15"/>
      <c r="C11" s="11"/>
      <c r="D11" s="11"/>
      <c r="F11" s="30"/>
      <c r="G11" s="31"/>
      <c r="H11" s="31"/>
      <c r="I11" s="31"/>
      <c r="J11" s="31"/>
      <c r="K11" s="31"/>
      <c r="L11" s="14"/>
    </row>
    <row r="12" ht="240.0" customHeight="1">
      <c r="A12" s="1"/>
      <c r="B12" s="15"/>
      <c r="C12" s="11"/>
      <c r="D12" s="33" t="s">
        <v>8</v>
      </c>
      <c r="F12" s="30"/>
      <c r="G12" s="32"/>
      <c r="L12" s="14"/>
    </row>
    <row r="13">
      <c r="A13" s="1"/>
      <c r="B13" s="19"/>
      <c r="C13" s="34"/>
      <c r="D13" s="35"/>
      <c r="E13" s="35"/>
      <c r="F13" s="36"/>
      <c r="G13" s="37"/>
      <c r="H13" s="37"/>
      <c r="I13" s="37"/>
      <c r="J13" s="37"/>
      <c r="K13" s="37"/>
      <c r="L13" s="38"/>
      <c r="M13" s="1"/>
    </row>
    <row r="14">
      <c r="A14" s="1"/>
      <c r="B14" s="39"/>
      <c r="C14" s="11"/>
      <c r="D14" s="11"/>
      <c r="E14" s="11"/>
      <c r="F14" s="30"/>
      <c r="G14" s="31"/>
      <c r="H14" s="31"/>
      <c r="I14" s="31"/>
      <c r="J14" s="31"/>
      <c r="K14" s="31"/>
      <c r="L14" s="30"/>
      <c r="M14" s="1"/>
    </row>
    <row r="15" ht="301.5" customHeight="1">
      <c r="A15" s="1"/>
      <c r="B15" s="39"/>
      <c r="C15" s="11"/>
      <c r="D15" s="33" t="s">
        <v>9</v>
      </c>
      <c r="E15" s="11"/>
      <c r="F15" s="30"/>
      <c r="G15" s="40"/>
      <c r="L15" s="30"/>
      <c r="M15" s="1"/>
    </row>
    <row r="16">
      <c r="A16" s="1"/>
      <c r="B16" s="39"/>
      <c r="C16" s="11"/>
      <c r="D16" s="11"/>
      <c r="E16" s="11"/>
      <c r="F16" s="30"/>
      <c r="G16" s="31"/>
      <c r="H16" s="31"/>
      <c r="I16" s="31"/>
      <c r="J16" s="31"/>
      <c r="K16" s="31"/>
      <c r="L16" s="30"/>
      <c r="M16" s="1"/>
    </row>
    <row r="17" ht="24.75" customHeight="1">
      <c r="A17" s="1"/>
      <c r="B17" s="22"/>
      <c r="C17" s="41"/>
      <c r="D17" s="42"/>
      <c r="G17" s="43"/>
      <c r="M17" s="9"/>
    </row>
    <row r="18" ht="24.75" customHeight="1">
      <c r="A18" s="1"/>
      <c r="B18" s="22"/>
      <c r="C18" s="44"/>
      <c r="D18" s="45"/>
      <c r="L18" s="46"/>
      <c r="M18" s="47"/>
    </row>
    <row r="19" ht="24.75" customHeight="1">
      <c r="A19" s="1"/>
      <c r="B19" s="22"/>
      <c r="C19" s="15"/>
      <c r="L19" s="46"/>
      <c r="M19" s="9"/>
    </row>
    <row r="20" ht="24.75" customHeight="1">
      <c r="A20" s="1"/>
      <c r="B20" s="22"/>
      <c r="C20" s="15"/>
      <c r="L20" s="46"/>
      <c r="M20" s="9"/>
    </row>
    <row r="21" ht="24.75" customHeight="1">
      <c r="A21" s="1"/>
      <c r="B21" s="22"/>
      <c r="C21" s="15"/>
      <c r="L21" s="46"/>
      <c r="M21" s="9"/>
    </row>
    <row r="22" ht="24.75" customHeight="1">
      <c r="A22" s="1"/>
      <c r="B22" s="22"/>
      <c r="C22" s="15"/>
      <c r="L22" s="46"/>
      <c r="M22" s="9"/>
    </row>
    <row r="23" ht="24.75" customHeight="1">
      <c r="A23" s="1"/>
      <c r="B23" s="22"/>
      <c r="C23" s="15"/>
      <c r="L23" s="46"/>
      <c r="M23" s="9"/>
    </row>
    <row r="24" ht="24.75" customHeight="1">
      <c r="A24" s="1"/>
      <c r="B24" s="22"/>
      <c r="C24" s="15"/>
      <c r="L24" s="46"/>
      <c r="M24" s="9"/>
    </row>
    <row r="25" ht="24.75" customHeight="1">
      <c r="A25" s="1"/>
      <c r="B25" s="22"/>
      <c r="C25" s="15"/>
      <c r="L25" s="46"/>
      <c r="M25" s="9"/>
    </row>
    <row r="26" ht="24.75" customHeight="1">
      <c r="A26" s="1"/>
      <c r="B26" s="22"/>
      <c r="C26" s="15"/>
      <c r="L26" s="46"/>
      <c r="M26" s="9"/>
    </row>
    <row r="27" ht="24.75" customHeight="1">
      <c r="A27" s="1"/>
      <c r="B27" s="22"/>
      <c r="C27" s="15"/>
      <c r="L27" s="46"/>
      <c r="M27" s="9"/>
    </row>
    <row r="28" ht="24.75" customHeight="1">
      <c r="A28" s="1"/>
      <c r="B28" s="22"/>
      <c r="C28" s="15"/>
      <c r="L28" s="46"/>
      <c r="M28" s="9"/>
    </row>
    <row r="29" ht="24.75" customHeight="1">
      <c r="A29" s="1"/>
      <c r="B29" s="22"/>
      <c r="C29" s="15"/>
      <c r="L29" s="46"/>
      <c r="M29" s="9"/>
    </row>
    <row r="30" ht="24.75" customHeight="1">
      <c r="A30" s="1"/>
      <c r="B30" s="22"/>
      <c r="C30" s="15"/>
      <c r="L30" s="46"/>
      <c r="M30" s="9"/>
    </row>
    <row r="31" ht="24.75" customHeight="1">
      <c r="A31" s="1"/>
      <c r="B31" s="22"/>
      <c r="C31" s="15"/>
      <c r="L31" s="46"/>
      <c r="M31" s="9"/>
    </row>
    <row r="32" ht="24.75" customHeight="1">
      <c r="A32" s="1"/>
      <c r="B32" s="22"/>
      <c r="C32" s="15"/>
      <c r="L32" s="46"/>
      <c r="M32" s="9"/>
    </row>
    <row r="33" ht="24.75" customHeight="1">
      <c r="A33" s="1"/>
      <c r="B33" s="22"/>
      <c r="C33" s="15"/>
      <c r="L33" s="46"/>
      <c r="M33" s="9"/>
    </row>
    <row r="34" ht="24.75" customHeight="1">
      <c r="A34" s="1"/>
      <c r="B34" s="22"/>
      <c r="C34" s="19"/>
      <c r="D34" s="35"/>
      <c r="E34" s="35"/>
      <c r="F34" s="35"/>
      <c r="G34" s="35"/>
      <c r="H34" s="35"/>
      <c r="I34" s="35"/>
      <c r="J34" s="35"/>
      <c r="K34" s="35"/>
      <c r="L34" s="48"/>
      <c r="M34" s="21"/>
    </row>
    <row r="35" ht="24.75" customHeight="1">
      <c r="A35" s="1"/>
      <c r="B35" s="22"/>
      <c r="C35" s="23"/>
      <c r="D35" s="23"/>
      <c r="E35" s="23"/>
      <c r="F35" s="24"/>
      <c r="G35" s="25"/>
      <c r="H35" s="25"/>
      <c r="I35" s="25"/>
      <c r="J35" s="25"/>
      <c r="K35" s="25"/>
      <c r="L35" s="24"/>
      <c r="M35" s="1"/>
    </row>
    <row r="36" ht="24.75" customHeight="1">
      <c r="A36" s="1"/>
      <c r="B36" s="22"/>
      <c r="C36" s="23"/>
      <c r="D36" s="23"/>
      <c r="E36" s="23"/>
      <c r="F36" s="24"/>
      <c r="G36" s="25"/>
      <c r="H36" s="25"/>
      <c r="I36" s="25"/>
      <c r="J36" s="25"/>
      <c r="K36" s="25"/>
      <c r="L36" s="24"/>
      <c r="M36" s="1"/>
    </row>
    <row r="37" ht="24.75" customHeight="1">
      <c r="A37" s="1"/>
      <c r="B37" s="22"/>
      <c r="C37" s="23"/>
      <c r="D37" s="23"/>
      <c r="E37" s="23"/>
      <c r="F37" s="24"/>
      <c r="G37" s="25"/>
      <c r="H37" s="25"/>
      <c r="I37" s="25"/>
      <c r="J37" s="25"/>
      <c r="K37" s="25"/>
      <c r="L37" s="24"/>
      <c r="M37" s="1"/>
    </row>
    <row r="38" ht="24.75" customHeight="1">
      <c r="A38" s="1"/>
      <c r="B38" s="22"/>
      <c r="C38" s="23"/>
      <c r="D38" s="23"/>
      <c r="E38" s="23"/>
      <c r="F38" s="24"/>
      <c r="G38" s="25"/>
      <c r="H38" s="25"/>
      <c r="I38" s="25"/>
      <c r="J38" s="25"/>
      <c r="K38" s="25"/>
      <c r="L38" s="24"/>
      <c r="M38" s="1"/>
    </row>
    <row r="39" ht="24.75" customHeight="1">
      <c r="A39" s="1"/>
      <c r="B39" s="22"/>
      <c r="C39" s="23"/>
      <c r="D39" s="23"/>
      <c r="E39" s="23"/>
      <c r="F39" s="24"/>
      <c r="G39" s="25"/>
      <c r="H39" s="25"/>
      <c r="I39" s="25"/>
      <c r="J39" s="25"/>
      <c r="K39" s="25"/>
      <c r="L39" s="24"/>
      <c r="M39" s="1"/>
    </row>
    <row r="40" ht="24.75" customHeight="1">
      <c r="A40" s="1"/>
      <c r="B40" s="22"/>
      <c r="C40" s="23"/>
      <c r="D40" s="23"/>
      <c r="E40" s="23"/>
      <c r="F40" s="24"/>
      <c r="G40" s="25"/>
      <c r="H40" s="25"/>
      <c r="I40" s="25"/>
      <c r="J40" s="25"/>
      <c r="K40" s="25"/>
      <c r="L40" s="24"/>
      <c r="M40" s="1"/>
    </row>
    <row r="41" ht="24.75" customHeight="1">
      <c r="A41" s="1"/>
      <c r="B41" s="22"/>
      <c r="C41" s="23"/>
      <c r="D41" s="23"/>
      <c r="E41" s="23"/>
      <c r="F41" s="24"/>
      <c r="G41" s="25"/>
      <c r="H41" s="25"/>
      <c r="I41" s="25"/>
      <c r="J41" s="25"/>
      <c r="K41" s="25"/>
      <c r="L41" s="24"/>
      <c r="M41" s="1"/>
    </row>
    <row r="42" ht="24.75" customHeight="1">
      <c r="A42" s="1"/>
      <c r="B42" s="22"/>
      <c r="C42" s="23"/>
      <c r="D42" s="23"/>
      <c r="E42" s="23"/>
      <c r="F42" s="24"/>
      <c r="G42" s="25"/>
      <c r="H42" s="25"/>
      <c r="I42" s="25"/>
      <c r="J42" s="25"/>
      <c r="K42" s="25"/>
      <c r="L42" s="24"/>
      <c r="M42" s="1"/>
    </row>
    <row r="43" ht="24.75" customHeight="1">
      <c r="A43" s="1"/>
      <c r="B43" s="22"/>
      <c r="C43" s="23"/>
      <c r="D43" s="23"/>
      <c r="E43" s="23"/>
      <c r="F43" s="24"/>
      <c r="G43" s="25"/>
      <c r="H43" s="25"/>
      <c r="I43" s="25"/>
      <c r="J43" s="25"/>
      <c r="K43" s="25"/>
      <c r="L43" s="24"/>
      <c r="M43" s="1"/>
    </row>
    <row r="44" ht="24.75" customHeight="1">
      <c r="A44" s="1"/>
      <c r="B44" s="22"/>
      <c r="C44" s="23"/>
      <c r="D44" s="23"/>
      <c r="E44" s="23"/>
      <c r="F44" s="24"/>
      <c r="G44" s="25"/>
      <c r="H44" s="25"/>
      <c r="I44" s="25"/>
      <c r="J44" s="25"/>
      <c r="K44" s="25"/>
      <c r="L44" s="24"/>
      <c r="M44" s="1"/>
    </row>
    <row r="45" ht="24.75" customHeight="1">
      <c r="A45" s="1"/>
      <c r="B45" s="22"/>
      <c r="C45" s="23"/>
      <c r="D45" s="23"/>
      <c r="E45" s="23"/>
      <c r="F45" s="24"/>
      <c r="G45" s="25"/>
      <c r="H45" s="25"/>
      <c r="I45" s="25"/>
      <c r="J45" s="25"/>
      <c r="K45" s="25"/>
      <c r="L45" s="24"/>
      <c r="M45" s="1"/>
    </row>
    <row r="46" ht="24.75" customHeight="1">
      <c r="A46" s="1"/>
      <c r="B46" s="22"/>
      <c r="C46" s="23"/>
      <c r="D46" s="23"/>
      <c r="E46" s="23"/>
      <c r="F46" s="24"/>
      <c r="G46" s="25"/>
      <c r="H46" s="25"/>
      <c r="I46" s="25"/>
      <c r="J46" s="25"/>
      <c r="K46" s="25"/>
      <c r="L46" s="24"/>
      <c r="M46" s="1"/>
    </row>
    <row r="47" ht="24.75" customHeight="1">
      <c r="A47" s="1"/>
      <c r="B47" s="22"/>
      <c r="C47" s="23"/>
      <c r="D47" s="23"/>
      <c r="E47" s="23"/>
      <c r="F47" s="24"/>
      <c r="G47" s="25"/>
      <c r="H47" s="25"/>
      <c r="I47" s="25"/>
      <c r="J47" s="25"/>
      <c r="K47" s="25"/>
      <c r="L47" s="24"/>
      <c r="M47" s="1"/>
    </row>
    <row r="48" ht="24.75" customHeight="1">
      <c r="A48" s="1"/>
      <c r="B48" s="22"/>
      <c r="C48" s="23"/>
      <c r="D48" s="23"/>
      <c r="E48" s="23"/>
      <c r="F48" s="24"/>
      <c r="G48" s="25"/>
      <c r="H48" s="25"/>
      <c r="I48" s="25"/>
      <c r="J48" s="25"/>
      <c r="K48" s="25"/>
      <c r="L48" s="24"/>
      <c r="M48" s="1"/>
    </row>
    <row r="49" ht="24.75" customHeight="1">
      <c r="A49" s="1"/>
      <c r="B49" s="22"/>
      <c r="C49" s="23"/>
      <c r="D49" s="23"/>
      <c r="E49" s="23"/>
      <c r="F49" s="24"/>
      <c r="G49" s="25"/>
      <c r="H49" s="25"/>
      <c r="I49" s="25"/>
      <c r="J49" s="25"/>
      <c r="K49" s="25"/>
      <c r="L49" s="24"/>
      <c r="M49" s="1"/>
    </row>
    <row r="50" ht="24.75" customHeight="1">
      <c r="A50" s="1"/>
      <c r="B50" s="22"/>
      <c r="C50" s="23"/>
      <c r="D50" s="23"/>
      <c r="E50" s="23"/>
      <c r="F50" s="24"/>
      <c r="G50" s="25"/>
      <c r="H50" s="25"/>
      <c r="I50" s="25"/>
      <c r="J50" s="25"/>
      <c r="K50" s="25"/>
      <c r="L50" s="24"/>
      <c r="M50" s="1"/>
    </row>
    <row r="51" ht="24.75" customHeight="1">
      <c r="A51" s="1"/>
      <c r="B51" s="22"/>
      <c r="C51" s="23"/>
      <c r="D51" s="23"/>
      <c r="E51" s="23"/>
      <c r="F51" s="24"/>
      <c r="G51" s="25"/>
      <c r="H51" s="25"/>
      <c r="I51" s="25"/>
      <c r="J51" s="25"/>
      <c r="K51" s="25"/>
      <c r="L51" s="24"/>
      <c r="M51" s="1"/>
    </row>
    <row r="52" ht="24.75" customHeight="1">
      <c r="A52" s="1"/>
      <c r="B52" s="22"/>
      <c r="C52" s="23"/>
      <c r="D52" s="23"/>
      <c r="E52" s="23"/>
      <c r="F52" s="24"/>
      <c r="G52" s="25"/>
      <c r="H52" s="25"/>
      <c r="I52" s="25"/>
      <c r="J52" s="25"/>
      <c r="K52" s="25"/>
      <c r="L52" s="24"/>
      <c r="M52" s="1"/>
    </row>
    <row r="53" ht="24.75" customHeight="1">
      <c r="A53" s="1"/>
      <c r="B53" s="22"/>
      <c r="C53" s="23"/>
      <c r="D53" s="23"/>
      <c r="E53" s="23"/>
      <c r="F53" s="24"/>
      <c r="G53" s="25"/>
      <c r="H53" s="25"/>
      <c r="I53" s="25"/>
      <c r="J53" s="25"/>
      <c r="K53" s="25"/>
      <c r="L53" s="24"/>
      <c r="M53" s="1"/>
    </row>
    <row r="54" ht="24.75" customHeight="1">
      <c r="A54" s="1"/>
      <c r="B54" s="22"/>
      <c r="C54" s="23"/>
      <c r="D54" s="23"/>
      <c r="E54" s="23"/>
      <c r="F54" s="24"/>
      <c r="G54" s="25"/>
      <c r="H54" s="25"/>
      <c r="I54" s="25"/>
      <c r="J54" s="25"/>
      <c r="K54" s="25"/>
      <c r="L54" s="24"/>
      <c r="M54" s="1"/>
    </row>
    <row r="55" ht="24.75" customHeight="1">
      <c r="A55" s="1"/>
      <c r="B55" s="22"/>
      <c r="C55" s="23"/>
      <c r="D55" s="23"/>
      <c r="E55" s="23"/>
      <c r="F55" s="24"/>
      <c r="G55" s="25"/>
      <c r="H55" s="25"/>
      <c r="I55" s="25"/>
      <c r="J55" s="25"/>
      <c r="K55" s="25"/>
      <c r="L55" s="24"/>
      <c r="M55" s="1"/>
    </row>
    <row r="56" ht="24.75" customHeight="1">
      <c r="A56" s="1"/>
      <c r="B56" s="22"/>
      <c r="C56" s="23"/>
      <c r="D56" s="23"/>
      <c r="E56" s="23"/>
      <c r="F56" s="24"/>
      <c r="G56" s="25"/>
      <c r="H56" s="25"/>
      <c r="I56" s="25"/>
      <c r="J56" s="25"/>
      <c r="K56" s="25"/>
      <c r="L56" s="24"/>
      <c r="M56" s="1"/>
    </row>
    <row r="57" ht="24.75" customHeight="1">
      <c r="A57" s="1"/>
      <c r="B57" s="22"/>
      <c r="C57" s="23"/>
      <c r="D57" s="23"/>
      <c r="E57" s="23"/>
      <c r="F57" s="24"/>
      <c r="G57" s="25"/>
      <c r="H57" s="25"/>
      <c r="I57" s="25"/>
      <c r="J57" s="25"/>
      <c r="K57" s="25"/>
      <c r="L57" s="24"/>
      <c r="M57" s="1"/>
    </row>
    <row r="58" ht="24.75" customHeight="1">
      <c r="A58" s="1"/>
      <c r="B58" s="22"/>
      <c r="C58" s="23"/>
      <c r="D58" s="23"/>
      <c r="E58" s="23"/>
      <c r="F58" s="24"/>
      <c r="G58" s="25"/>
      <c r="H58" s="25"/>
      <c r="I58" s="25"/>
      <c r="J58" s="25"/>
      <c r="K58" s="25"/>
      <c r="L58" s="24"/>
      <c r="M58" s="1"/>
    </row>
    <row r="59" ht="24.75" customHeight="1">
      <c r="A59" s="1"/>
      <c r="B59" s="22"/>
      <c r="C59" s="23"/>
      <c r="D59" s="23"/>
      <c r="E59" s="23"/>
      <c r="F59" s="24"/>
      <c r="G59" s="25"/>
      <c r="H59" s="25"/>
      <c r="I59" s="25"/>
      <c r="J59" s="25"/>
      <c r="K59" s="25"/>
      <c r="L59" s="24"/>
      <c r="M59" s="1"/>
    </row>
    <row r="60" ht="24.75" customHeight="1">
      <c r="A60" s="1"/>
      <c r="B60" s="22"/>
      <c r="C60" s="23"/>
      <c r="D60" s="23"/>
      <c r="E60" s="23"/>
      <c r="F60" s="24"/>
      <c r="G60" s="25"/>
      <c r="H60" s="25"/>
      <c r="I60" s="25"/>
      <c r="J60" s="25"/>
      <c r="K60" s="25"/>
      <c r="L60" s="24"/>
      <c r="M60" s="1"/>
    </row>
    <row r="61" ht="24.75" customHeight="1">
      <c r="A61" s="1"/>
      <c r="B61" s="22"/>
      <c r="C61" s="23"/>
      <c r="D61" s="23"/>
      <c r="E61" s="23"/>
      <c r="F61" s="24"/>
      <c r="G61" s="25"/>
      <c r="H61" s="25"/>
      <c r="I61" s="25"/>
      <c r="J61" s="25"/>
      <c r="K61" s="25"/>
      <c r="L61" s="24"/>
      <c r="M61" s="1"/>
    </row>
    <row r="62" ht="24.75" customHeight="1">
      <c r="A62" s="1"/>
      <c r="B62" s="22"/>
      <c r="C62" s="23"/>
      <c r="D62" s="23"/>
      <c r="E62" s="23"/>
      <c r="F62" s="24"/>
      <c r="G62" s="25"/>
      <c r="H62" s="25"/>
      <c r="I62" s="25"/>
      <c r="J62" s="25"/>
      <c r="K62" s="25"/>
      <c r="L62" s="24"/>
      <c r="M62" s="1"/>
    </row>
    <row r="63" ht="24.75" customHeight="1">
      <c r="A63" s="1"/>
      <c r="B63" s="22"/>
      <c r="C63" s="23"/>
      <c r="D63" s="23"/>
      <c r="E63" s="23"/>
      <c r="F63" s="24"/>
      <c r="G63" s="25"/>
      <c r="H63" s="25"/>
      <c r="I63" s="25"/>
      <c r="J63" s="25"/>
      <c r="K63" s="25"/>
      <c r="L63" s="24"/>
      <c r="M63" s="1"/>
    </row>
    <row r="64" ht="24.75" customHeight="1">
      <c r="A64" s="1"/>
      <c r="B64" s="22"/>
      <c r="C64" s="23"/>
      <c r="D64" s="23"/>
      <c r="E64" s="23"/>
      <c r="F64" s="24"/>
      <c r="G64" s="25"/>
      <c r="H64" s="25"/>
      <c r="I64" s="25"/>
      <c r="J64" s="25"/>
      <c r="K64" s="25"/>
      <c r="L64" s="24"/>
      <c r="M64" s="1"/>
    </row>
    <row r="65" ht="24.75" customHeight="1">
      <c r="A65" s="1"/>
      <c r="B65" s="22"/>
      <c r="C65" s="23"/>
      <c r="D65" s="23"/>
      <c r="E65" s="23"/>
      <c r="F65" s="24"/>
      <c r="G65" s="25"/>
      <c r="H65" s="25"/>
      <c r="I65" s="25"/>
      <c r="J65" s="25"/>
      <c r="K65" s="25"/>
      <c r="L65" s="24"/>
      <c r="M65" s="1"/>
    </row>
    <row r="66" ht="24.75" customHeight="1">
      <c r="A66" s="1"/>
      <c r="B66" s="22"/>
      <c r="C66" s="23"/>
      <c r="D66" s="23"/>
      <c r="E66" s="23"/>
      <c r="F66" s="24"/>
      <c r="G66" s="25"/>
      <c r="H66" s="25"/>
      <c r="I66" s="25"/>
      <c r="J66" s="25"/>
      <c r="K66" s="25"/>
      <c r="L66" s="24"/>
      <c r="M66" s="1"/>
    </row>
    <row r="67" ht="24.75" customHeight="1">
      <c r="A67" s="1"/>
      <c r="B67" s="22"/>
      <c r="C67" s="23"/>
      <c r="D67" s="23"/>
      <c r="E67" s="23"/>
      <c r="F67" s="24"/>
      <c r="G67" s="25"/>
      <c r="H67" s="25"/>
      <c r="I67" s="25"/>
      <c r="J67" s="25"/>
      <c r="K67" s="25"/>
      <c r="L67" s="24"/>
      <c r="M67" s="1"/>
    </row>
    <row r="68" ht="24.75" customHeight="1">
      <c r="A68" s="1"/>
      <c r="B68" s="22"/>
      <c r="C68" s="23"/>
      <c r="D68" s="23"/>
      <c r="E68" s="23"/>
      <c r="F68" s="24"/>
      <c r="G68" s="25"/>
      <c r="H68" s="25"/>
      <c r="I68" s="25"/>
      <c r="J68" s="25"/>
      <c r="K68" s="25"/>
      <c r="L68" s="24"/>
      <c r="M68" s="1"/>
    </row>
    <row r="69" ht="24.75" customHeight="1">
      <c r="A69" s="1"/>
      <c r="B69" s="22"/>
      <c r="C69" s="23"/>
      <c r="D69" s="23"/>
      <c r="E69" s="23"/>
      <c r="F69" s="24"/>
      <c r="G69" s="25"/>
      <c r="H69" s="25"/>
      <c r="I69" s="25"/>
      <c r="J69" s="25"/>
      <c r="K69" s="25"/>
      <c r="L69" s="24"/>
      <c r="M69" s="1"/>
    </row>
    <row r="70" ht="24.75" customHeight="1">
      <c r="A70" s="1"/>
      <c r="B70" s="22"/>
      <c r="C70" s="23"/>
      <c r="D70" s="23"/>
      <c r="E70" s="23"/>
      <c r="F70" s="24"/>
      <c r="G70" s="25"/>
      <c r="H70" s="25"/>
      <c r="I70" s="25"/>
      <c r="J70" s="25"/>
      <c r="K70" s="25"/>
      <c r="L70" s="24"/>
      <c r="M70" s="1"/>
    </row>
    <row r="71" ht="24.75" customHeight="1">
      <c r="A71" s="1"/>
      <c r="B71" s="22"/>
      <c r="C71" s="23"/>
      <c r="D71" s="23"/>
      <c r="E71" s="23"/>
      <c r="F71" s="24"/>
      <c r="G71" s="25"/>
      <c r="H71" s="25"/>
      <c r="I71" s="25"/>
      <c r="J71" s="25"/>
      <c r="K71" s="25"/>
      <c r="L71" s="24"/>
      <c r="M71" s="1"/>
    </row>
    <row r="72" ht="24.75" customHeight="1">
      <c r="A72" s="1"/>
      <c r="B72" s="22"/>
      <c r="C72" s="23"/>
      <c r="D72" s="23"/>
      <c r="E72" s="23"/>
      <c r="F72" s="24"/>
      <c r="G72" s="25"/>
      <c r="H72" s="25"/>
      <c r="I72" s="25"/>
      <c r="J72" s="25"/>
      <c r="K72" s="25"/>
      <c r="L72" s="24"/>
      <c r="M72" s="1"/>
    </row>
    <row r="73" ht="24.75" customHeight="1">
      <c r="A73" s="1"/>
      <c r="B73" s="22"/>
      <c r="C73" s="23"/>
      <c r="D73" s="23"/>
      <c r="E73" s="23"/>
      <c r="F73" s="24"/>
      <c r="G73" s="25"/>
      <c r="H73" s="25"/>
      <c r="I73" s="25"/>
      <c r="J73" s="25"/>
      <c r="K73" s="25"/>
      <c r="L73" s="24"/>
      <c r="M73" s="1"/>
    </row>
    <row r="74" ht="24.75" customHeight="1">
      <c r="A74" s="1"/>
      <c r="B74" s="22"/>
      <c r="C74" s="23"/>
      <c r="D74" s="23"/>
      <c r="E74" s="23"/>
      <c r="F74" s="24"/>
      <c r="G74" s="25"/>
      <c r="H74" s="25"/>
      <c r="I74" s="25"/>
      <c r="J74" s="25"/>
      <c r="K74" s="25"/>
      <c r="L74" s="24"/>
      <c r="M74" s="1"/>
    </row>
    <row r="75" ht="24.75" customHeight="1">
      <c r="A75" s="1"/>
      <c r="B75" s="22"/>
      <c r="C75" s="23"/>
      <c r="D75" s="23"/>
      <c r="E75" s="23"/>
      <c r="F75" s="24"/>
      <c r="G75" s="25"/>
      <c r="H75" s="25"/>
      <c r="I75" s="25"/>
      <c r="J75" s="25"/>
      <c r="K75" s="25"/>
      <c r="L75" s="24"/>
      <c r="M75" s="1"/>
    </row>
    <row r="76" ht="24.75" customHeight="1">
      <c r="A76" s="1"/>
      <c r="B76" s="22"/>
      <c r="C76" s="23"/>
      <c r="D76" s="23"/>
      <c r="E76" s="23"/>
      <c r="F76" s="24"/>
      <c r="G76" s="25"/>
      <c r="H76" s="25"/>
      <c r="I76" s="25"/>
      <c r="J76" s="25"/>
      <c r="K76" s="25"/>
      <c r="L76" s="24"/>
      <c r="M76" s="1"/>
    </row>
    <row r="77" ht="24.75" customHeight="1">
      <c r="A77" s="1"/>
      <c r="B77" s="22"/>
      <c r="C77" s="23"/>
      <c r="D77" s="23"/>
      <c r="E77" s="23"/>
      <c r="F77" s="24"/>
      <c r="G77" s="25"/>
      <c r="H77" s="25"/>
      <c r="I77" s="25"/>
      <c r="J77" s="25"/>
      <c r="K77" s="25"/>
      <c r="L77" s="24"/>
      <c r="M77" s="1"/>
    </row>
    <row r="78" ht="24.75" customHeight="1">
      <c r="A78" s="1"/>
      <c r="B78" s="22"/>
      <c r="C78" s="23"/>
      <c r="D78" s="23"/>
      <c r="E78" s="23"/>
      <c r="F78" s="24"/>
      <c r="G78" s="25"/>
      <c r="H78" s="25"/>
      <c r="I78" s="25"/>
      <c r="J78" s="25"/>
      <c r="K78" s="25"/>
      <c r="L78" s="24"/>
      <c r="M78" s="1"/>
    </row>
    <row r="79" ht="24.75" customHeight="1">
      <c r="A79" s="1"/>
      <c r="B79" s="22"/>
      <c r="C79" s="23"/>
      <c r="D79" s="23"/>
      <c r="E79" s="23"/>
      <c r="F79" s="24"/>
      <c r="G79" s="25"/>
      <c r="H79" s="25"/>
      <c r="I79" s="25"/>
      <c r="J79" s="25"/>
      <c r="K79" s="25"/>
      <c r="L79" s="24"/>
      <c r="M79" s="1"/>
    </row>
    <row r="80" ht="24.75" customHeight="1">
      <c r="A80" s="1"/>
      <c r="B80" s="22"/>
      <c r="C80" s="23"/>
      <c r="D80" s="23"/>
      <c r="E80" s="23"/>
      <c r="F80" s="24"/>
      <c r="G80" s="25"/>
      <c r="H80" s="25"/>
      <c r="I80" s="25"/>
      <c r="J80" s="25"/>
      <c r="K80" s="25"/>
      <c r="L80" s="24"/>
      <c r="M80" s="1"/>
    </row>
    <row r="81" ht="24.75" customHeight="1">
      <c r="A81" s="1"/>
      <c r="B81" s="22"/>
      <c r="C81" s="23"/>
      <c r="D81" s="23"/>
      <c r="E81" s="23"/>
      <c r="F81" s="24"/>
      <c r="G81" s="25"/>
      <c r="H81" s="25"/>
      <c r="I81" s="25"/>
      <c r="J81" s="25"/>
      <c r="K81" s="25"/>
      <c r="L81" s="24"/>
      <c r="M81" s="1"/>
    </row>
    <row r="82" ht="24.75" customHeight="1">
      <c r="A82" s="1"/>
      <c r="B82" s="22"/>
      <c r="C82" s="23"/>
      <c r="D82" s="23"/>
      <c r="E82" s="23"/>
      <c r="F82" s="24"/>
      <c r="G82" s="25"/>
      <c r="H82" s="25"/>
      <c r="I82" s="25"/>
      <c r="J82" s="25"/>
      <c r="K82" s="25"/>
      <c r="L82" s="24"/>
      <c r="M82" s="1"/>
    </row>
    <row r="83" ht="24.75" customHeight="1">
      <c r="A83" s="1"/>
      <c r="B83" s="22"/>
      <c r="C83" s="23"/>
      <c r="D83" s="23"/>
      <c r="E83" s="23"/>
      <c r="F83" s="24"/>
      <c r="G83" s="25"/>
      <c r="H83" s="25"/>
      <c r="I83" s="25"/>
      <c r="J83" s="25"/>
      <c r="K83" s="25"/>
      <c r="L83" s="24"/>
      <c r="M83" s="1"/>
    </row>
    <row r="84" ht="24.75" customHeight="1">
      <c r="A84" s="1"/>
      <c r="B84" s="22"/>
      <c r="C84" s="23"/>
      <c r="D84" s="23"/>
      <c r="E84" s="23"/>
      <c r="F84" s="24"/>
      <c r="G84" s="25"/>
      <c r="H84" s="25"/>
      <c r="I84" s="25"/>
      <c r="J84" s="25"/>
      <c r="K84" s="25"/>
      <c r="L84" s="24"/>
      <c r="M84" s="1"/>
    </row>
    <row r="85" ht="24.75" customHeight="1">
      <c r="A85" s="1"/>
      <c r="B85" s="22"/>
      <c r="C85" s="23"/>
      <c r="D85" s="23"/>
      <c r="E85" s="23"/>
      <c r="F85" s="24"/>
      <c r="G85" s="25"/>
      <c r="H85" s="25"/>
      <c r="I85" s="25"/>
      <c r="J85" s="25"/>
      <c r="K85" s="25"/>
      <c r="L85" s="24"/>
      <c r="M85" s="1"/>
    </row>
    <row r="86" ht="24.75" customHeight="1">
      <c r="A86" s="1"/>
      <c r="B86" s="22"/>
      <c r="C86" s="23"/>
      <c r="D86" s="23"/>
      <c r="E86" s="23"/>
      <c r="F86" s="24"/>
      <c r="G86" s="25"/>
      <c r="H86" s="25"/>
      <c r="I86" s="25"/>
      <c r="J86" s="25"/>
      <c r="K86" s="25"/>
      <c r="L86" s="24"/>
      <c r="M86" s="1"/>
    </row>
    <row r="87" ht="24.75" customHeight="1">
      <c r="A87" s="1"/>
      <c r="B87" s="22"/>
      <c r="C87" s="23"/>
      <c r="D87" s="23"/>
      <c r="E87" s="23"/>
      <c r="F87" s="24"/>
      <c r="G87" s="25"/>
      <c r="H87" s="25"/>
      <c r="I87" s="25"/>
      <c r="J87" s="25"/>
      <c r="K87" s="25"/>
      <c r="L87" s="24"/>
      <c r="M87" s="1"/>
    </row>
    <row r="88" ht="24.75" customHeight="1">
      <c r="A88" s="1"/>
      <c r="B88" s="22"/>
      <c r="C88" s="23"/>
      <c r="D88" s="23"/>
      <c r="E88" s="23"/>
      <c r="F88" s="24"/>
      <c r="G88" s="25"/>
      <c r="H88" s="25"/>
      <c r="I88" s="25"/>
      <c r="J88" s="25"/>
      <c r="K88" s="25"/>
      <c r="L88" s="24"/>
      <c r="M88" s="1"/>
    </row>
    <row r="89" ht="24.75" customHeight="1">
      <c r="A89" s="1"/>
      <c r="B89" s="22"/>
      <c r="C89" s="23"/>
      <c r="D89" s="23"/>
      <c r="E89" s="23"/>
      <c r="F89" s="24"/>
      <c r="G89" s="25"/>
      <c r="H89" s="25"/>
      <c r="I89" s="25"/>
      <c r="J89" s="25"/>
      <c r="K89" s="25"/>
      <c r="L89" s="24"/>
      <c r="M89" s="1"/>
    </row>
    <row r="90" ht="24.75" customHeight="1">
      <c r="A90" s="1"/>
      <c r="B90" s="22"/>
      <c r="C90" s="23"/>
      <c r="D90" s="23"/>
      <c r="E90" s="23"/>
      <c r="F90" s="24"/>
      <c r="G90" s="25"/>
      <c r="H90" s="25"/>
      <c r="I90" s="25"/>
      <c r="J90" s="25"/>
      <c r="K90" s="25"/>
      <c r="L90" s="24"/>
      <c r="M90" s="1"/>
    </row>
    <row r="91" ht="24.75" customHeight="1">
      <c r="A91" s="1"/>
      <c r="B91" s="22"/>
      <c r="C91" s="23"/>
      <c r="D91" s="23"/>
      <c r="E91" s="23"/>
      <c r="F91" s="24"/>
      <c r="G91" s="25"/>
      <c r="H91" s="25"/>
      <c r="I91" s="25"/>
      <c r="J91" s="25"/>
      <c r="K91" s="25"/>
      <c r="L91" s="24"/>
      <c r="M91" s="1"/>
    </row>
    <row r="92" ht="24.75" customHeight="1">
      <c r="A92" s="1"/>
      <c r="B92" s="22"/>
      <c r="C92" s="23"/>
      <c r="D92" s="23"/>
      <c r="E92" s="23"/>
      <c r="F92" s="24"/>
      <c r="G92" s="25"/>
      <c r="H92" s="25"/>
      <c r="I92" s="25"/>
      <c r="J92" s="25"/>
      <c r="K92" s="25"/>
      <c r="L92" s="24"/>
      <c r="M92" s="1"/>
    </row>
    <row r="93" ht="24.75" customHeight="1">
      <c r="A93" s="1"/>
      <c r="B93" s="22"/>
      <c r="C93" s="23"/>
      <c r="D93" s="23"/>
      <c r="E93" s="23"/>
      <c r="F93" s="24"/>
      <c r="G93" s="25"/>
      <c r="H93" s="25"/>
      <c r="I93" s="25"/>
      <c r="J93" s="25"/>
      <c r="K93" s="25"/>
      <c r="L93" s="24"/>
      <c r="M93" s="1"/>
    </row>
    <row r="94" ht="24.75" customHeight="1">
      <c r="A94" s="1"/>
      <c r="B94" s="22"/>
      <c r="C94" s="23"/>
      <c r="D94" s="23"/>
      <c r="E94" s="23"/>
      <c r="F94" s="24"/>
      <c r="G94" s="25"/>
      <c r="H94" s="25"/>
      <c r="I94" s="25"/>
      <c r="J94" s="25"/>
      <c r="K94" s="25"/>
      <c r="L94" s="24"/>
      <c r="M94" s="1"/>
    </row>
    <row r="95" ht="24.75" customHeight="1">
      <c r="A95" s="1"/>
      <c r="B95" s="22"/>
      <c r="C95" s="23"/>
      <c r="D95" s="23"/>
      <c r="E95" s="23"/>
      <c r="F95" s="24"/>
      <c r="G95" s="25"/>
      <c r="H95" s="25"/>
      <c r="I95" s="25"/>
      <c r="J95" s="25"/>
      <c r="K95" s="25"/>
      <c r="L95" s="24"/>
      <c r="M95" s="1"/>
    </row>
    <row r="96" ht="24.75" customHeight="1">
      <c r="A96" s="1"/>
      <c r="B96" s="22"/>
      <c r="C96" s="23"/>
      <c r="D96" s="23"/>
      <c r="E96" s="23"/>
      <c r="F96" s="24"/>
      <c r="G96" s="25"/>
      <c r="H96" s="25"/>
      <c r="I96" s="25"/>
      <c r="J96" s="25"/>
      <c r="K96" s="25"/>
      <c r="L96" s="24"/>
      <c r="M96" s="1"/>
    </row>
    <row r="97" ht="24.75" customHeight="1">
      <c r="A97" s="1"/>
      <c r="B97" s="22"/>
      <c r="C97" s="23"/>
      <c r="D97" s="23"/>
      <c r="E97" s="23"/>
      <c r="F97" s="24"/>
      <c r="G97" s="25"/>
      <c r="H97" s="25"/>
      <c r="I97" s="25"/>
      <c r="J97" s="25"/>
      <c r="K97" s="25"/>
      <c r="L97" s="24"/>
      <c r="M97" s="1"/>
    </row>
    <row r="98" ht="24.75" customHeight="1">
      <c r="A98" s="1"/>
      <c r="B98" s="22"/>
      <c r="C98" s="23"/>
      <c r="D98" s="23"/>
      <c r="E98" s="23"/>
      <c r="F98" s="24"/>
      <c r="G98" s="25"/>
      <c r="H98" s="25"/>
      <c r="I98" s="25"/>
      <c r="J98" s="25"/>
      <c r="K98" s="25"/>
      <c r="L98" s="24"/>
      <c r="M98" s="1"/>
    </row>
    <row r="99" ht="24.75" customHeight="1">
      <c r="A99" s="1"/>
      <c r="B99" s="22"/>
      <c r="C99" s="23"/>
      <c r="D99" s="23"/>
      <c r="E99" s="23"/>
      <c r="F99" s="24"/>
      <c r="G99" s="25"/>
      <c r="H99" s="25"/>
      <c r="I99" s="25"/>
      <c r="J99" s="25"/>
      <c r="K99" s="25"/>
      <c r="L99" s="24"/>
      <c r="M99" s="1"/>
    </row>
    <row r="100" ht="24.75" customHeight="1">
      <c r="A100" s="1"/>
      <c r="B100" s="22"/>
      <c r="C100" s="23"/>
      <c r="D100" s="23"/>
      <c r="E100" s="23"/>
      <c r="F100" s="24"/>
      <c r="G100" s="25"/>
      <c r="H100" s="25"/>
      <c r="I100" s="25"/>
      <c r="J100" s="25"/>
      <c r="K100" s="25"/>
      <c r="L100" s="24"/>
      <c r="M100" s="1"/>
    </row>
    <row r="101" ht="24.75" customHeight="1">
      <c r="A101" s="1"/>
      <c r="B101" s="22"/>
      <c r="C101" s="23"/>
      <c r="D101" s="23"/>
      <c r="E101" s="23"/>
      <c r="F101" s="24"/>
      <c r="G101" s="25"/>
      <c r="H101" s="25"/>
      <c r="I101" s="25"/>
      <c r="J101" s="25"/>
      <c r="K101" s="25"/>
      <c r="L101" s="24"/>
      <c r="M101" s="1"/>
    </row>
    <row r="102" ht="24.75" customHeight="1">
      <c r="A102" s="1"/>
      <c r="B102" s="22"/>
      <c r="C102" s="23"/>
      <c r="D102" s="23"/>
      <c r="E102" s="23"/>
      <c r="F102" s="24"/>
      <c r="G102" s="25"/>
      <c r="H102" s="25"/>
      <c r="I102" s="25"/>
      <c r="J102" s="25"/>
      <c r="K102" s="25"/>
      <c r="L102" s="24"/>
      <c r="M102" s="1"/>
    </row>
    <row r="103" ht="24.75" customHeight="1">
      <c r="A103" s="1"/>
      <c r="B103" s="22"/>
      <c r="C103" s="23"/>
      <c r="D103" s="23"/>
      <c r="E103" s="23"/>
      <c r="F103" s="24"/>
      <c r="G103" s="25"/>
      <c r="H103" s="25"/>
      <c r="I103" s="25"/>
      <c r="J103" s="25"/>
      <c r="K103" s="25"/>
      <c r="L103" s="24"/>
      <c r="M103" s="1"/>
    </row>
    <row r="104" ht="24.75" customHeight="1">
      <c r="A104" s="1"/>
      <c r="B104" s="22"/>
      <c r="C104" s="23"/>
      <c r="D104" s="23"/>
      <c r="E104" s="23"/>
      <c r="F104" s="24"/>
      <c r="G104" s="25"/>
      <c r="H104" s="25"/>
      <c r="I104" s="25"/>
      <c r="J104" s="25"/>
      <c r="K104" s="25"/>
      <c r="L104" s="24"/>
      <c r="M104" s="1"/>
    </row>
    <row r="105" ht="24.75" customHeight="1">
      <c r="A105" s="1"/>
      <c r="B105" s="22"/>
      <c r="C105" s="23"/>
      <c r="D105" s="23"/>
      <c r="E105" s="23"/>
      <c r="F105" s="24"/>
      <c r="G105" s="25"/>
      <c r="H105" s="25"/>
      <c r="I105" s="25"/>
      <c r="J105" s="25"/>
      <c r="K105" s="25"/>
      <c r="L105" s="24"/>
      <c r="M105" s="1"/>
    </row>
    <row r="106" ht="24.75" customHeight="1">
      <c r="A106" s="1"/>
      <c r="B106" s="22"/>
      <c r="C106" s="23"/>
      <c r="D106" s="23"/>
      <c r="E106" s="23"/>
      <c r="F106" s="24"/>
      <c r="G106" s="25"/>
      <c r="H106" s="25"/>
      <c r="I106" s="25"/>
      <c r="J106" s="25"/>
      <c r="K106" s="25"/>
      <c r="L106" s="24"/>
      <c r="M106" s="1"/>
    </row>
    <row r="107" ht="24.75" customHeight="1">
      <c r="A107" s="1"/>
      <c r="B107" s="22"/>
      <c r="C107" s="23"/>
      <c r="D107" s="23"/>
      <c r="E107" s="23"/>
      <c r="F107" s="24"/>
      <c r="G107" s="25"/>
      <c r="H107" s="25"/>
      <c r="I107" s="25"/>
      <c r="J107" s="25"/>
      <c r="K107" s="25"/>
      <c r="L107" s="24"/>
      <c r="M107" s="1"/>
    </row>
    <row r="108" ht="24.75" customHeight="1">
      <c r="A108" s="1"/>
      <c r="B108" s="22"/>
      <c r="C108" s="23"/>
      <c r="D108" s="23"/>
      <c r="E108" s="23"/>
      <c r="F108" s="24"/>
      <c r="G108" s="25"/>
      <c r="H108" s="25"/>
      <c r="I108" s="25"/>
      <c r="J108" s="25"/>
      <c r="K108" s="25"/>
      <c r="L108" s="24"/>
      <c r="M108" s="1"/>
    </row>
    <row r="109" ht="24.75" customHeight="1">
      <c r="A109" s="1"/>
      <c r="B109" s="22"/>
      <c r="C109" s="23"/>
      <c r="D109" s="23"/>
      <c r="E109" s="23"/>
      <c r="F109" s="24"/>
      <c r="G109" s="25"/>
      <c r="H109" s="25"/>
      <c r="I109" s="25"/>
      <c r="J109" s="25"/>
      <c r="K109" s="25"/>
      <c r="L109" s="24"/>
      <c r="M109" s="1"/>
    </row>
    <row r="110" ht="24.75" customHeight="1">
      <c r="A110" s="1"/>
      <c r="B110" s="22"/>
      <c r="C110" s="23"/>
      <c r="D110" s="23"/>
      <c r="E110" s="23"/>
      <c r="F110" s="24"/>
      <c r="G110" s="25"/>
      <c r="H110" s="25"/>
      <c r="I110" s="25"/>
      <c r="J110" s="25"/>
      <c r="K110" s="25"/>
      <c r="L110" s="24"/>
      <c r="M110" s="1"/>
    </row>
    <row r="111" ht="24.75" customHeight="1">
      <c r="A111" s="1"/>
      <c r="B111" s="22"/>
      <c r="C111" s="23"/>
      <c r="D111" s="23"/>
      <c r="E111" s="23"/>
      <c r="F111" s="24"/>
      <c r="G111" s="25"/>
      <c r="H111" s="25"/>
      <c r="I111" s="25"/>
      <c r="J111" s="25"/>
      <c r="K111" s="25"/>
      <c r="L111" s="24"/>
      <c r="M111" s="1"/>
    </row>
    <row r="112" ht="24.75" customHeight="1">
      <c r="A112" s="1"/>
      <c r="B112" s="22"/>
      <c r="C112" s="23"/>
      <c r="D112" s="23"/>
      <c r="E112" s="23"/>
      <c r="F112" s="24"/>
      <c r="G112" s="25"/>
      <c r="H112" s="25"/>
      <c r="I112" s="25"/>
      <c r="J112" s="25"/>
      <c r="K112" s="25"/>
      <c r="L112" s="24"/>
      <c r="M112" s="1"/>
    </row>
    <row r="113" ht="24.75" customHeight="1">
      <c r="A113" s="1"/>
      <c r="B113" s="22"/>
      <c r="C113" s="23"/>
      <c r="D113" s="23"/>
      <c r="E113" s="23"/>
      <c r="F113" s="24"/>
      <c r="G113" s="25"/>
      <c r="H113" s="25"/>
      <c r="I113" s="25"/>
      <c r="J113" s="25"/>
      <c r="K113" s="25"/>
      <c r="L113" s="24"/>
      <c r="M113" s="1"/>
    </row>
    <row r="114" ht="24.75" customHeight="1">
      <c r="A114" s="1"/>
      <c r="B114" s="22"/>
      <c r="C114" s="23"/>
      <c r="D114" s="23"/>
      <c r="E114" s="23"/>
      <c r="F114" s="24"/>
      <c r="G114" s="25"/>
      <c r="H114" s="25"/>
      <c r="I114" s="25"/>
      <c r="J114" s="25"/>
      <c r="K114" s="25"/>
      <c r="L114" s="24"/>
      <c r="M114" s="1"/>
    </row>
    <row r="115" ht="24.75" customHeight="1">
      <c r="A115" s="1"/>
      <c r="B115" s="22"/>
      <c r="C115" s="23"/>
      <c r="D115" s="23"/>
      <c r="E115" s="23"/>
      <c r="F115" s="24"/>
      <c r="G115" s="25"/>
      <c r="H115" s="25"/>
      <c r="I115" s="25"/>
      <c r="J115" s="25"/>
      <c r="K115" s="25"/>
      <c r="L115" s="24"/>
      <c r="M115" s="1"/>
    </row>
    <row r="116" ht="24.75" customHeight="1">
      <c r="A116" s="1"/>
      <c r="B116" s="22"/>
      <c r="C116" s="23"/>
      <c r="D116" s="23"/>
      <c r="E116" s="23"/>
      <c r="F116" s="24"/>
      <c r="G116" s="25"/>
      <c r="H116" s="25"/>
      <c r="I116" s="25"/>
      <c r="J116" s="25"/>
      <c r="K116" s="25"/>
      <c r="L116" s="24"/>
      <c r="M116" s="1"/>
    </row>
    <row r="117" ht="24.75" customHeight="1">
      <c r="A117" s="1"/>
      <c r="B117" s="22"/>
      <c r="C117" s="23"/>
      <c r="D117" s="23"/>
      <c r="E117" s="23"/>
      <c r="F117" s="24"/>
      <c r="G117" s="25"/>
      <c r="H117" s="25"/>
      <c r="I117" s="25"/>
      <c r="J117" s="25"/>
      <c r="K117" s="25"/>
      <c r="L117" s="24"/>
      <c r="M117" s="1"/>
    </row>
    <row r="118" ht="24.75" customHeight="1">
      <c r="A118" s="1"/>
      <c r="B118" s="22"/>
      <c r="C118" s="23"/>
      <c r="D118" s="23"/>
      <c r="E118" s="23"/>
      <c r="F118" s="24"/>
      <c r="G118" s="25"/>
      <c r="H118" s="25"/>
      <c r="I118" s="25"/>
      <c r="J118" s="25"/>
      <c r="K118" s="25"/>
      <c r="L118" s="24"/>
      <c r="M118" s="1"/>
    </row>
    <row r="119" ht="24.75" customHeight="1">
      <c r="A119" s="1"/>
      <c r="B119" s="22"/>
      <c r="C119" s="23"/>
      <c r="D119" s="23"/>
      <c r="E119" s="23"/>
      <c r="F119" s="24"/>
      <c r="G119" s="25"/>
      <c r="H119" s="25"/>
      <c r="I119" s="25"/>
      <c r="J119" s="25"/>
      <c r="K119" s="25"/>
      <c r="L119" s="24"/>
      <c r="M119" s="1"/>
    </row>
    <row r="120" ht="24.75" customHeight="1">
      <c r="A120" s="1"/>
      <c r="B120" s="22"/>
      <c r="C120" s="23"/>
      <c r="D120" s="23"/>
      <c r="E120" s="23"/>
      <c r="F120" s="24"/>
      <c r="G120" s="25"/>
      <c r="H120" s="25"/>
      <c r="I120" s="25"/>
      <c r="J120" s="25"/>
      <c r="K120" s="25"/>
      <c r="L120" s="24"/>
      <c r="M120" s="1"/>
    </row>
    <row r="121" ht="24.75" customHeight="1">
      <c r="A121" s="1"/>
      <c r="B121" s="22"/>
      <c r="C121" s="23"/>
      <c r="D121" s="23"/>
      <c r="E121" s="23"/>
      <c r="F121" s="24"/>
      <c r="G121" s="25"/>
      <c r="H121" s="25"/>
      <c r="I121" s="25"/>
      <c r="J121" s="25"/>
      <c r="K121" s="25"/>
      <c r="L121" s="24"/>
      <c r="M121" s="1"/>
    </row>
    <row r="122" ht="24.75" customHeight="1">
      <c r="A122" s="1"/>
      <c r="B122" s="22"/>
      <c r="C122" s="23"/>
      <c r="D122" s="23"/>
      <c r="E122" s="23"/>
      <c r="F122" s="24"/>
      <c r="G122" s="25"/>
      <c r="H122" s="25"/>
      <c r="I122" s="25"/>
      <c r="J122" s="25"/>
      <c r="K122" s="25"/>
      <c r="L122" s="24"/>
      <c r="M122" s="1"/>
    </row>
    <row r="123" ht="24.75" customHeight="1">
      <c r="A123" s="1"/>
      <c r="B123" s="22"/>
      <c r="C123" s="23"/>
      <c r="D123" s="23"/>
      <c r="E123" s="23"/>
      <c r="F123" s="24"/>
      <c r="G123" s="25"/>
      <c r="H123" s="25"/>
      <c r="I123" s="25"/>
      <c r="J123" s="25"/>
      <c r="K123" s="25"/>
      <c r="L123" s="24"/>
      <c r="M123" s="1"/>
    </row>
    <row r="124" ht="24.75" customHeight="1">
      <c r="A124" s="1"/>
      <c r="B124" s="22"/>
      <c r="C124" s="23"/>
      <c r="D124" s="23"/>
      <c r="E124" s="23"/>
      <c r="F124" s="24"/>
      <c r="G124" s="25"/>
      <c r="H124" s="25"/>
      <c r="I124" s="25"/>
      <c r="J124" s="25"/>
      <c r="K124" s="25"/>
      <c r="L124" s="24"/>
      <c r="M124" s="1"/>
    </row>
    <row r="125" ht="24.75" customHeight="1">
      <c r="A125" s="1"/>
      <c r="B125" s="22"/>
      <c r="C125" s="23"/>
      <c r="D125" s="23"/>
      <c r="E125" s="23"/>
      <c r="F125" s="24"/>
      <c r="G125" s="25"/>
      <c r="H125" s="25"/>
      <c r="I125" s="25"/>
      <c r="J125" s="25"/>
      <c r="K125" s="25"/>
      <c r="L125" s="24"/>
      <c r="M125" s="1"/>
    </row>
    <row r="126" ht="24.75" customHeight="1">
      <c r="A126" s="1"/>
      <c r="B126" s="22"/>
      <c r="C126" s="23"/>
      <c r="D126" s="23"/>
      <c r="E126" s="23"/>
      <c r="F126" s="24"/>
      <c r="G126" s="25"/>
      <c r="H126" s="25"/>
      <c r="I126" s="25"/>
      <c r="J126" s="25"/>
      <c r="K126" s="25"/>
      <c r="L126" s="24"/>
      <c r="M126" s="1"/>
    </row>
    <row r="127" ht="24.75" customHeight="1">
      <c r="A127" s="1"/>
      <c r="B127" s="22"/>
      <c r="C127" s="23"/>
      <c r="D127" s="23"/>
      <c r="E127" s="23"/>
      <c r="F127" s="24"/>
      <c r="G127" s="25"/>
      <c r="H127" s="25"/>
      <c r="I127" s="25"/>
      <c r="J127" s="25"/>
      <c r="K127" s="25"/>
      <c r="L127" s="24"/>
      <c r="M127" s="1"/>
    </row>
    <row r="128" ht="24.75" customHeight="1">
      <c r="A128" s="1"/>
      <c r="B128" s="22"/>
      <c r="C128" s="23"/>
      <c r="D128" s="23"/>
      <c r="E128" s="23"/>
      <c r="F128" s="24"/>
      <c r="G128" s="25"/>
      <c r="H128" s="25"/>
      <c r="I128" s="25"/>
      <c r="J128" s="25"/>
      <c r="K128" s="25"/>
      <c r="L128" s="24"/>
      <c r="M128" s="1"/>
    </row>
    <row r="129" ht="24.75" customHeight="1">
      <c r="A129" s="1"/>
      <c r="B129" s="22"/>
      <c r="C129" s="23"/>
      <c r="D129" s="23"/>
      <c r="E129" s="23"/>
      <c r="F129" s="24"/>
      <c r="G129" s="25"/>
      <c r="H129" s="25"/>
      <c r="I129" s="25"/>
      <c r="J129" s="25"/>
      <c r="K129" s="25"/>
      <c r="L129" s="24"/>
      <c r="M129" s="1"/>
    </row>
    <row r="130" ht="24.75" customHeight="1">
      <c r="A130" s="1"/>
      <c r="B130" s="22"/>
      <c r="C130" s="23"/>
      <c r="D130" s="23"/>
      <c r="E130" s="23"/>
      <c r="F130" s="24"/>
      <c r="G130" s="25"/>
      <c r="H130" s="25"/>
      <c r="I130" s="25"/>
      <c r="J130" s="25"/>
      <c r="K130" s="25"/>
      <c r="L130" s="24"/>
      <c r="M130" s="1"/>
    </row>
    <row r="131" ht="24.75" customHeight="1">
      <c r="A131" s="1"/>
      <c r="B131" s="22"/>
      <c r="C131" s="23"/>
      <c r="D131" s="23"/>
      <c r="E131" s="23"/>
      <c r="F131" s="24"/>
      <c r="G131" s="25"/>
      <c r="H131" s="25"/>
      <c r="I131" s="25"/>
      <c r="J131" s="25"/>
      <c r="K131" s="25"/>
      <c r="L131" s="24"/>
      <c r="M131" s="1"/>
    </row>
    <row r="132" ht="24.75" customHeight="1">
      <c r="A132" s="1"/>
      <c r="B132" s="22"/>
      <c r="C132" s="23"/>
      <c r="D132" s="23"/>
      <c r="E132" s="23"/>
      <c r="F132" s="24"/>
      <c r="G132" s="25"/>
      <c r="H132" s="25"/>
      <c r="I132" s="25"/>
      <c r="J132" s="25"/>
      <c r="K132" s="25"/>
      <c r="L132" s="24"/>
      <c r="M132" s="1"/>
    </row>
    <row r="133" ht="24.75" customHeight="1">
      <c r="A133" s="1"/>
      <c r="B133" s="22"/>
      <c r="C133" s="23"/>
      <c r="D133" s="23"/>
      <c r="E133" s="23"/>
      <c r="F133" s="24"/>
      <c r="G133" s="25"/>
      <c r="H133" s="25"/>
      <c r="I133" s="25"/>
      <c r="J133" s="25"/>
      <c r="K133" s="25"/>
      <c r="L133" s="24"/>
      <c r="M133" s="1"/>
    </row>
    <row r="134" ht="24.75" customHeight="1">
      <c r="A134" s="1"/>
      <c r="B134" s="22"/>
      <c r="C134" s="23"/>
      <c r="D134" s="23"/>
      <c r="E134" s="23"/>
      <c r="F134" s="24"/>
      <c r="G134" s="25"/>
      <c r="H134" s="25"/>
      <c r="I134" s="25"/>
      <c r="J134" s="25"/>
      <c r="K134" s="25"/>
      <c r="L134" s="24"/>
      <c r="M134" s="1"/>
    </row>
    <row r="135" ht="24.75" customHeight="1">
      <c r="A135" s="1"/>
      <c r="B135" s="22"/>
      <c r="C135" s="23"/>
      <c r="D135" s="23"/>
      <c r="E135" s="23"/>
      <c r="F135" s="24"/>
      <c r="G135" s="25"/>
      <c r="H135" s="25"/>
      <c r="I135" s="25"/>
      <c r="J135" s="25"/>
      <c r="K135" s="25"/>
      <c r="L135" s="24"/>
      <c r="M135" s="1"/>
    </row>
    <row r="136" ht="24.75" customHeight="1">
      <c r="A136" s="1"/>
      <c r="B136" s="22"/>
      <c r="C136" s="23"/>
      <c r="D136" s="23"/>
      <c r="E136" s="23"/>
      <c r="F136" s="24"/>
      <c r="G136" s="25"/>
      <c r="H136" s="25"/>
      <c r="I136" s="25"/>
      <c r="J136" s="25"/>
      <c r="K136" s="25"/>
      <c r="L136" s="24"/>
      <c r="M136" s="1"/>
    </row>
    <row r="137" ht="24.75" customHeight="1">
      <c r="A137" s="1"/>
      <c r="B137" s="22"/>
      <c r="C137" s="23"/>
      <c r="D137" s="23"/>
      <c r="E137" s="23"/>
      <c r="F137" s="24"/>
      <c r="G137" s="25"/>
      <c r="H137" s="25"/>
      <c r="I137" s="25"/>
      <c r="J137" s="25"/>
      <c r="K137" s="25"/>
      <c r="L137" s="24"/>
      <c r="M137" s="1"/>
    </row>
    <row r="138" ht="24.75" customHeight="1">
      <c r="A138" s="1"/>
      <c r="B138" s="22"/>
      <c r="C138" s="23"/>
      <c r="D138" s="23"/>
      <c r="E138" s="23"/>
      <c r="F138" s="24"/>
      <c r="G138" s="25"/>
      <c r="H138" s="25"/>
      <c r="I138" s="25"/>
      <c r="J138" s="25"/>
      <c r="K138" s="25"/>
      <c r="L138" s="24"/>
      <c r="M138" s="1"/>
    </row>
    <row r="139" ht="24.75" customHeight="1">
      <c r="A139" s="1"/>
      <c r="B139" s="22"/>
      <c r="C139" s="23"/>
      <c r="D139" s="23"/>
      <c r="E139" s="23"/>
      <c r="F139" s="24"/>
      <c r="G139" s="25"/>
      <c r="H139" s="25"/>
      <c r="I139" s="25"/>
      <c r="J139" s="25"/>
      <c r="K139" s="25"/>
      <c r="L139" s="24"/>
      <c r="M139" s="1"/>
    </row>
    <row r="140" ht="24.75" customHeight="1">
      <c r="A140" s="1"/>
      <c r="B140" s="22"/>
      <c r="C140" s="23"/>
      <c r="D140" s="23"/>
      <c r="E140" s="23"/>
      <c r="F140" s="24"/>
      <c r="G140" s="25"/>
      <c r="H140" s="25"/>
      <c r="I140" s="25"/>
      <c r="J140" s="25"/>
      <c r="K140" s="25"/>
      <c r="L140" s="24"/>
      <c r="M140" s="1"/>
    </row>
    <row r="141" ht="24.75" customHeight="1">
      <c r="A141" s="1"/>
      <c r="B141" s="22"/>
      <c r="C141" s="23"/>
      <c r="D141" s="23"/>
      <c r="E141" s="23"/>
      <c r="F141" s="24"/>
      <c r="G141" s="25"/>
      <c r="H141" s="25"/>
      <c r="I141" s="25"/>
      <c r="J141" s="25"/>
      <c r="K141" s="25"/>
      <c r="L141" s="24"/>
      <c r="M141" s="1"/>
    </row>
    <row r="142" ht="24.75" customHeight="1">
      <c r="A142" s="1"/>
      <c r="B142" s="22"/>
      <c r="C142" s="23"/>
      <c r="D142" s="23"/>
      <c r="E142" s="23"/>
      <c r="F142" s="24"/>
      <c r="G142" s="25"/>
      <c r="H142" s="25"/>
      <c r="I142" s="25"/>
      <c r="J142" s="25"/>
      <c r="K142" s="25"/>
      <c r="L142" s="24"/>
      <c r="M142" s="1"/>
    </row>
    <row r="143" ht="24.75" customHeight="1">
      <c r="A143" s="1"/>
      <c r="B143" s="22"/>
      <c r="C143" s="23"/>
      <c r="D143" s="23"/>
      <c r="E143" s="23"/>
      <c r="F143" s="24"/>
      <c r="G143" s="25"/>
      <c r="H143" s="25"/>
      <c r="I143" s="25"/>
      <c r="J143" s="25"/>
      <c r="K143" s="25"/>
      <c r="L143" s="24"/>
      <c r="M143" s="1"/>
    </row>
    <row r="144" ht="24.75" customHeight="1">
      <c r="A144" s="1"/>
      <c r="B144" s="22"/>
      <c r="C144" s="23"/>
      <c r="D144" s="23"/>
      <c r="E144" s="23"/>
      <c r="F144" s="24"/>
      <c r="G144" s="25"/>
      <c r="H144" s="25"/>
      <c r="I144" s="25"/>
      <c r="J144" s="25"/>
      <c r="K144" s="25"/>
      <c r="L144" s="24"/>
      <c r="M144" s="1"/>
    </row>
    <row r="145" ht="24.75" customHeight="1">
      <c r="A145" s="1"/>
      <c r="B145" s="22"/>
      <c r="C145" s="23"/>
      <c r="D145" s="23"/>
      <c r="E145" s="23"/>
      <c r="F145" s="24"/>
      <c r="G145" s="25"/>
      <c r="H145" s="25"/>
      <c r="I145" s="25"/>
      <c r="J145" s="25"/>
      <c r="K145" s="25"/>
      <c r="L145" s="24"/>
      <c r="M145" s="1"/>
    </row>
    <row r="146" ht="24.75" customHeight="1">
      <c r="A146" s="1"/>
      <c r="B146" s="22"/>
      <c r="C146" s="23"/>
      <c r="D146" s="23"/>
      <c r="E146" s="23"/>
      <c r="F146" s="24"/>
      <c r="G146" s="25"/>
      <c r="H146" s="25"/>
      <c r="I146" s="25"/>
      <c r="J146" s="25"/>
      <c r="K146" s="25"/>
      <c r="L146" s="24"/>
      <c r="M146" s="1"/>
    </row>
    <row r="147" ht="24.75" customHeight="1">
      <c r="A147" s="1"/>
      <c r="B147" s="22"/>
      <c r="C147" s="23"/>
      <c r="D147" s="23"/>
      <c r="E147" s="23"/>
      <c r="F147" s="24"/>
      <c r="G147" s="25"/>
      <c r="H147" s="25"/>
      <c r="I147" s="25"/>
      <c r="J147" s="25"/>
      <c r="K147" s="25"/>
      <c r="L147" s="24"/>
      <c r="M147" s="1"/>
    </row>
    <row r="148" ht="24.75" customHeight="1">
      <c r="A148" s="1"/>
      <c r="B148" s="22"/>
      <c r="C148" s="23"/>
      <c r="D148" s="23"/>
      <c r="E148" s="23"/>
      <c r="F148" s="24"/>
      <c r="G148" s="25"/>
      <c r="H148" s="25"/>
      <c r="I148" s="25"/>
      <c r="J148" s="25"/>
      <c r="K148" s="25"/>
      <c r="L148" s="24"/>
      <c r="M148" s="1"/>
    </row>
    <row r="149" ht="24.75" customHeight="1">
      <c r="A149" s="1"/>
      <c r="B149" s="22"/>
      <c r="C149" s="23"/>
      <c r="D149" s="23"/>
      <c r="E149" s="23"/>
      <c r="F149" s="24"/>
      <c r="G149" s="25"/>
      <c r="H149" s="25"/>
      <c r="I149" s="25"/>
      <c r="J149" s="25"/>
      <c r="K149" s="25"/>
      <c r="L149" s="24"/>
      <c r="M149" s="1"/>
    </row>
    <row r="150" ht="24.75" customHeight="1">
      <c r="A150" s="1"/>
      <c r="B150" s="22"/>
      <c r="C150" s="23"/>
      <c r="D150" s="23"/>
      <c r="E150" s="23"/>
      <c r="F150" s="24"/>
      <c r="G150" s="25"/>
      <c r="H150" s="25"/>
      <c r="I150" s="25"/>
      <c r="J150" s="25"/>
      <c r="K150" s="25"/>
      <c r="L150" s="24"/>
      <c r="M150" s="1"/>
    </row>
    <row r="151" ht="24.75" customHeight="1">
      <c r="A151" s="1"/>
      <c r="B151" s="22"/>
      <c r="C151" s="23"/>
      <c r="D151" s="23"/>
      <c r="E151" s="23"/>
      <c r="F151" s="24"/>
      <c r="G151" s="25"/>
      <c r="H151" s="25"/>
      <c r="I151" s="25"/>
      <c r="J151" s="25"/>
      <c r="K151" s="25"/>
      <c r="L151" s="24"/>
      <c r="M151" s="1"/>
    </row>
    <row r="152" ht="24.75" customHeight="1">
      <c r="A152" s="1"/>
      <c r="B152" s="22"/>
      <c r="C152" s="23"/>
      <c r="D152" s="23"/>
      <c r="E152" s="23"/>
      <c r="F152" s="24"/>
      <c r="G152" s="25"/>
      <c r="H152" s="25"/>
      <c r="I152" s="25"/>
      <c r="J152" s="25"/>
      <c r="K152" s="25"/>
      <c r="L152" s="24"/>
      <c r="M152" s="1"/>
    </row>
    <row r="153" ht="24.75" customHeight="1">
      <c r="A153" s="1"/>
      <c r="B153" s="22"/>
      <c r="C153" s="23"/>
      <c r="D153" s="23"/>
      <c r="E153" s="23"/>
      <c r="F153" s="24"/>
      <c r="G153" s="25"/>
      <c r="H153" s="25"/>
      <c r="I153" s="25"/>
      <c r="J153" s="25"/>
      <c r="K153" s="25"/>
      <c r="L153" s="24"/>
      <c r="M153" s="1"/>
    </row>
    <row r="154" ht="24.75" customHeight="1">
      <c r="A154" s="1"/>
      <c r="B154" s="22"/>
      <c r="C154" s="23"/>
      <c r="D154" s="23"/>
      <c r="E154" s="23"/>
      <c r="F154" s="24"/>
      <c r="G154" s="25"/>
      <c r="H154" s="25"/>
      <c r="I154" s="25"/>
      <c r="J154" s="25"/>
      <c r="K154" s="25"/>
      <c r="L154" s="24"/>
      <c r="M154" s="1"/>
    </row>
    <row r="155" ht="24.75" customHeight="1">
      <c r="A155" s="1"/>
      <c r="B155" s="22"/>
      <c r="C155" s="23"/>
      <c r="D155" s="23"/>
      <c r="E155" s="23"/>
      <c r="F155" s="24"/>
      <c r="G155" s="25"/>
      <c r="H155" s="25"/>
      <c r="I155" s="25"/>
      <c r="J155" s="25"/>
      <c r="K155" s="25"/>
      <c r="L155" s="24"/>
      <c r="M155" s="1"/>
    </row>
    <row r="156" ht="24.75" customHeight="1">
      <c r="A156" s="1"/>
      <c r="B156" s="22"/>
      <c r="C156" s="23"/>
      <c r="D156" s="23"/>
      <c r="E156" s="23"/>
      <c r="F156" s="24"/>
      <c r="G156" s="25"/>
      <c r="H156" s="25"/>
      <c r="I156" s="25"/>
      <c r="J156" s="25"/>
      <c r="K156" s="25"/>
      <c r="L156" s="24"/>
      <c r="M156" s="1"/>
    </row>
    <row r="157" ht="24.75" customHeight="1">
      <c r="A157" s="1"/>
      <c r="B157" s="22"/>
      <c r="C157" s="23"/>
      <c r="D157" s="23"/>
      <c r="E157" s="23"/>
      <c r="F157" s="24"/>
      <c r="G157" s="25"/>
      <c r="H157" s="25"/>
      <c r="I157" s="25"/>
      <c r="J157" s="25"/>
      <c r="K157" s="25"/>
      <c r="L157" s="24"/>
      <c r="M157" s="1"/>
    </row>
    <row r="158" ht="24.75" customHeight="1">
      <c r="A158" s="1"/>
      <c r="B158" s="22"/>
      <c r="C158" s="23"/>
      <c r="D158" s="23"/>
      <c r="E158" s="23"/>
      <c r="F158" s="24"/>
      <c r="G158" s="25"/>
      <c r="H158" s="25"/>
      <c r="I158" s="25"/>
      <c r="J158" s="25"/>
      <c r="K158" s="25"/>
      <c r="L158" s="24"/>
      <c r="M158" s="1"/>
    </row>
    <row r="159" ht="24.75" customHeight="1">
      <c r="A159" s="1"/>
      <c r="B159" s="22"/>
      <c r="C159" s="23"/>
      <c r="D159" s="23"/>
      <c r="E159" s="23"/>
      <c r="F159" s="24"/>
      <c r="G159" s="25"/>
      <c r="H159" s="25"/>
      <c r="I159" s="25"/>
      <c r="J159" s="25"/>
      <c r="K159" s="25"/>
      <c r="L159" s="24"/>
      <c r="M159" s="1"/>
    </row>
    <row r="160" ht="24.75" customHeight="1">
      <c r="A160" s="1"/>
      <c r="B160" s="22"/>
      <c r="C160" s="23"/>
      <c r="D160" s="23"/>
      <c r="E160" s="23"/>
      <c r="F160" s="24"/>
      <c r="G160" s="25"/>
      <c r="H160" s="25"/>
      <c r="I160" s="25"/>
      <c r="J160" s="25"/>
      <c r="K160" s="25"/>
      <c r="L160" s="24"/>
      <c r="M160" s="1"/>
    </row>
    <row r="161" ht="24.75" customHeight="1">
      <c r="A161" s="1"/>
      <c r="B161" s="22"/>
      <c r="C161" s="23"/>
      <c r="D161" s="23"/>
      <c r="E161" s="23"/>
      <c r="F161" s="24"/>
      <c r="G161" s="25"/>
      <c r="H161" s="25"/>
      <c r="I161" s="25"/>
      <c r="J161" s="25"/>
      <c r="K161" s="25"/>
      <c r="L161" s="24"/>
      <c r="M161" s="1"/>
    </row>
    <row r="162" ht="24.75" customHeight="1">
      <c r="A162" s="1"/>
      <c r="B162" s="22"/>
      <c r="C162" s="23"/>
      <c r="D162" s="23"/>
      <c r="E162" s="23"/>
      <c r="F162" s="24"/>
      <c r="G162" s="25"/>
      <c r="H162" s="25"/>
      <c r="I162" s="25"/>
      <c r="J162" s="25"/>
      <c r="K162" s="25"/>
      <c r="L162" s="24"/>
      <c r="M162" s="1"/>
    </row>
    <row r="163" ht="24.75" customHeight="1">
      <c r="A163" s="1"/>
      <c r="B163" s="22"/>
      <c r="C163" s="23"/>
      <c r="D163" s="23"/>
      <c r="E163" s="23"/>
      <c r="F163" s="24"/>
      <c r="G163" s="25"/>
      <c r="H163" s="25"/>
      <c r="I163" s="25"/>
      <c r="J163" s="25"/>
      <c r="K163" s="25"/>
      <c r="L163" s="24"/>
      <c r="M163" s="1"/>
    </row>
    <row r="164" ht="24.75" customHeight="1">
      <c r="A164" s="1"/>
      <c r="B164" s="22"/>
      <c r="C164" s="23"/>
      <c r="D164" s="23"/>
      <c r="E164" s="23"/>
      <c r="F164" s="24"/>
      <c r="G164" s="25"/>
      <c r="H164" s="25"/>
      <c r="I164" s="25"/>
      <c r="J164" s="25"/>
      <c r="K164" s="25"/>
      <c r="L164" s="24"/>
      <c r="M164" s="1"/>
    </row>
    <row r="165" ht="24.75" customHeight="1">
      <c r="A165" s="1"/>
      <c r="B165" s="22"/>
      <c r="C165" s="23"/>
      <c r="D165" s="23"/>
      <c r="E165" s="23"/>
      <c r="F165" s="24"/>
      <c r="G165" s="25"/>
      <c r="H165" s="25"/>
      <c r="I165" s="25"/>
      <c r="J165" s="25"/>
      <c r="K165" s="25"/>
      <c r="L165" s="24"/>
      <c r="M165" s="1"/>
    </row>
    <row r="166" ht="24.75" customHeight="1">
      <c r="A166" s="1"/>
      <c r="B166" s="22"/>
      <c r="C166" s="23"/>
      <c r="D166" s="23"/>
      <c r="E166" s="23"/>
      <c r="F166" s="24"/>
      <c r="G166" s="25"/>
      <c r="H166" s="25"/>
      <c r="I166" s="25"/>
      <c r="J166" s="25"/>
      <c r="K166" s="25"/>
      <c r="L166" s="24"/>
      <c r="M166" s="1"/>
    </row>
    <row r="167" ht="24.75" customHeight="1">
      <c r="A167" s="1"/>
      <c r="B167" s="22"/>
      <c r="C167" s="23"/>
      <c r="D167" s="23"/>
      <c r="E167" s="23"/>
      <c r="F167" s="24"/>
      <c r="G167" s="25"/>
      <c r="H167" s="25"/>
      <c r="I167" s="25"/>
      <c r="J167" s="25"/>
      <c r="K167" s="25"/>
      <c r="L167" s="24"/>
      <c r="M167" s="1"/>
    </row>
    <row r="168" ht="24.75" customHeight="1">
      <c r="A168" s="1"/>
      <c r="B168" s="22"/>
      <c r="C168" s="23"/>
      <c r="D168" s="23"/>
      <c r="E168" s="23"/>
      <c r="F168" s="24"/>
      <c r="G168" s="25"/>
      <c r="H168" s="25"/>
      <c r="I168" s="25"/>
      <c r="J168" s="25"/>
      <c r="K168" s="25"/>
      <c r="L168" s="24"/>
      <c r="M168" s="1"/>
    </row>
    <row r="169" ht="24.75" customHeight="1">
      <c r="A169" s="1"/>
      <c r="B169" s="22"/>
      <c r="C169" s="23"/>
      <c r="D169" s="23"/>
      <c r="E169" s="23"/>
      <c r="F169" s="24"/>
      <c r="G169" s="25"/>
      <c r="H169" s="25"/>
      <c r="I169" s="25"/>
      <c r="J169" s="25"/>
      <c r="K169" s="25"/>
      <c r="L169" s="24"/>
      <c r="M169" s="1"/>
    </row>
    <row r="170" ht="24.75" customHeight="1">
      <c r="A170" s="1"/>
      <c r="B170" s="22"/>
      <c r="C170" s="23"/>
      <c r="D170" s="23"/>
      <c r="E170" s="23"/>
      <c r="F170" s="24"/>
      <c r="G170" s="25"/>
      <c r="H170" s="25"/>
      <c r="I170" s="25"/>
      <c r="J170" s="25"/>
      <c r="K170" s="25"/>
      <c r="L170" s="24"/>
      <c r="M170" s="1"/>
    </row>
    <row r="171" ht="24.75" customHeight="1">
      <c r="A171" s="1"/>
      <c r="B171" s="22"/>
      <c r="C171" s="23"/>
      <c r="D171" s="23"/>
      <c r="E171" s="23"/>
      <c r="F171" s="24"/>
      <c r="G171" s="25"/>
      <c r="H171" s="25"/>
      <c r="I171" s="25"/>
      <c r="J171" s="25"/>
      <c r="K171" s="25"/>
      <c r="L171" s="24"/>
      <c r="M171" s="1"/>
    </row>
    <row r="172" ht="24.75" customHeight="1">
      <c r="A172" s="1"/>
      <c r="B172" s="22"/>
      <c r="C172" s="23"/>
      <c r="D172" s="23"/>
      <c r="E172" s="23"/>
      <c r="F172" s="24"/>
      <c r="G172" s="25"/>
      <c r="H172" s="25"/>
      <c r="I172" s="25"/>
      <c r="J172" s="25"/>
      <c r="K172" s="25"/>
      <c r="L172" s="24"/>
      <c r="M172" s="1"/>
    </row>
    <row r="173" ht="24.75" customHeight="1">
      <c r="A173" s="1"/>
      <c r="B173" s="22"/>
      <c r="C173" s="23"/>
      <c r="D173" s="23"/>
      <c r="E173" s="23"/>
      <c r="F173" s="24"/>
      <c r="G173" s="25"/>
      <c r="H173" s="25"/>
      <c r="I173" s="25"/>
      <c r="J173" s="25"/>
      <c r="K173" s="25"/>
      <c r="L173" s="24"/>
      <c r="M173" s="1"/>
    </row>
    <row r="174" ht="24.75" customHeight="1">
      <c r="A174" s="1"/>
      <c r="B174" s="22"/>
      <c r="C174" s="23"/>
      <c r="D174" s="23"/>
      <c r="E174" s="23"/>
      <c r="F174" s="24"/>
      <c r="G174" s="25"/>
      <c r="H174" s="25"/>
      <c r="I174" s="25"/>
      <c r="J174" s="25"/>
      <c r="K174" s="25"/>
      <c r="L174" s="24"/>
      <c r="M174" s="1"/>
    </row>
    <row r="175" ht="24.75" customHeight="1">
      <c r="A175" s="1"/>
      <c r="B175" s="22"/>
      <c r="C175" s="23"/>
      <c r="D175" s="23"/>
      <c r="E175" s="23"/>
      <c r="F175" s="24"/>
      <c r="G175" s="25"/>
      <c r="H175" s="25"/>
      <c r="I175" s="25"/>
      <c r="J175" s="25"/>
      <c r="K175" s="25"/>
      <c r="L175" s="24"/>
      <c r="M175" s="1"/>
    </row>
    <row r="176" ht="24.75" customHeight="1">
      <c r="A176" s="1"/>
      <c r="B176" s="22"/>
      <c r="C176" s="23"/>
      <c r="D176" s="23"/>
      <c r="E176" s="23"/>
      <c r="F176" s="24"/>
      <c r="G176" s="25"/>
      <c r="H176" s="25"/>
      <c r="I176" s="25"/>
      <c r="J176" s="25"/>
      <c r="K176" s="25"/>
      <c r="L176" s="24"/>
      <c r="M176" s="1"/>
    </row>
    <row r="177" ht="24.75" customHeight="1">
      <c r="A177" s="1"/>
      <c r="B177" s="22"/>
      <c r="C177" s="23"/>
      <c r="D177" s="23"/>
      <c r="E177" s="23"/>
      <c r="F177" s="24"/>
      <c r="G177" s="25"/>
      <c r="H177" s="25"/>
      <c r="I177" s="25"/>
      <c r="J177" s="25"/>
      <c r="K177" s="25"/>
      <c r="L177" s="24"/>
      <c r="M177" s="1"/>
    </row>
    <row r="178" ht="24.75" customHeight="1">
      <c r="A178" s="1"/>
      <c r="B178" s="22"/>
      <c r="C178" s="23"/>
      <c r="D178" s="23"/>
      <c r="E178" s="23"/>
      <c r="F178" s="24"/>
      <c r="G178" s="25"/>
      <c r="H178" s="25"/>
      <c r="I178" s="25"/>
      <c r="J178" s="25"/>
      <c r="K178" s="25"/>
      <c r="L178" s="24"/>
      <c r="M178" s="1"/>
    </row>
    <row r="179" ht="24.75" customHeight="1">
      <c r="A179" s="1"/>
      <c r="B179" s="22"/>
      <c r="C179" s="23"/>
      <c r="D179" s="23"/>
      <c r="E179" s="23"/>
      <c r="F179" s="24"/>
      <c r="G179" s="25"/>
      <c r="H179" s="25"/>
      <c r="I179" s="25"/>
      <c r="J179" s="25"/>
      <c r="K179" s="25"/>
      <c r="L179" s="24"/>
      <c r="M179" s="1"/>
    </row>
    <row r="180" ht="24.75" customHeight="1">
      <c r="A180" s="1"/>
      <c r="B180" s="22"/>
      <c r="C180" s="23"/>
      <c r="D180" s="23"/>
      <c r="E180" s="23"/>
      <c r="F180" s="24"/>
      <c r="G180" s="25"/>
      <c r="H180" s="25"/>
      <c r="I180" s="25"/>
      <c r="J180" s="25"/>
      <c r="K180" s="25"/>
      <c r="L180" s="24"/>
      <c r="M180" s="1"/>
    </row>
    <row r="181" ht="24.75" customHeight="1">
      <c r="A181" s="1"/>
      <c r="B181" s="22"/>
      <c r="C181" s="23"/>
      <c r="D181" s="23"/>
      <c r="E181" s="23"/>
      <c r="F181" s="24"/>
      <c r="G181" s="25"/>
      <c r="H181" s="25"/>
      <c r="I181" s="25"/>
      <c r="J181" s="25"/>
      <c r="K181" s="25"/>
      <c r="L181" s="24"/>
      <c r="M181" s="1"/>
    </row>
    <row r="182" ht="24.75" customHeight="1">
      <c r="A182" s="1"/>
      <c r="B182" s="22"/>
      <c r="C182" s="23"/>
      <c r="D182" s="23"/>
      <c r="E182" s="23"/>
      <c r="F182" s="24"/>
      <c r="G182" s="25"/>
      <c r="H182" s="25"/>
      <c r="I182" s="25"/>
      <c r="J182" s="25"/>
      <c r="K182" s="25"/>
      <c r="L182" s="24"/>
      <c r="M182" s="1"/>
    </row>
    <row r="183" ht="24.75" customHeight="1">
      <c r="A183" s="1"/>
      <c r="B183" s="22"/>
      <c r="C183" s="23"/>
      <c r="D183" s="23"/>
      <c r="E183" s="23"/>
      <c r="F183" s="24"/>
      <c r="G183" s="25"/>
      <c r="H183" s="25"/>
      <c r="I183" s="25"/>
      <c r="J183" s="25"/>
      <c r="K183" s="25"/>
      <c r="L183" s="24"/>
      <c r="M183" s="1"/>
    </row>
    <row r="184" ht="24.75" customHeight="1">
      <c r="A184" s="1"/>
      <c r="B184" s="22"/>
      <c r="C184" s="23"/>
      <c r="D184" s="23"/>
      <c r="E184" s="23"/>
      <c r="F184" s="24"/>
      <c r="G184" s="25"/>
      <c r="H184" s="25"/>
      <c r="I184" s="25"/>
      <c r="J184" s="25"/>
      <c r="K184" s="25"/>
      <c r="L184" s="24"/>
      <c r="M184" s="1"/>
    </row>
    <row r="185" ht="24.75" customHeight="1">
      <c r="A185" s="1"/>
      <c r="B185" s="22"/>
      <c r="C185" s="23"/>
      <c r="D185" s="23"/>
      <c r="E185" s="23"/>
      <c r="F185" s="24"/>
      <c r="G185" s="25"/>
      <c r="H185" s="25"/>
      <c r="I185" s="25"/>
      <c r="J185" s="25"/>
      <c r="K185" s="25"/>
      <c r="L185" s="24"/>
      <c r="M185" s="1"/>
    </row>
    <row r="186" ht="24.75" customHeight="1">
      <c r="A186" s="1"/>
      <c r="B186" s="22"/>
      <c r="C186" s="23"/>
      <c r="D186" s="23"/>
      <c r="E186" s="23"/>
      <c r="F186" s="24"/>
      <c r="G186" s="25"/>
      <c r="H186" s="25"/>
      <c r="I186" s="25"/>
      <c r="J186" s="25"/>
      <c r="K186" s="25"/>
      <c r="L186" s="24"/>
      <c r="M186" s="1"/>
    </row>
    <row r="187" ht="24.75" customHeight="1">
      <c r="A187" s="1"/>
      <c r="B187" s="22"/>
      <c r="C187" s="23"/>
      <c r="D187" s="23"/>
      <c r="E187" s="23"/>
      <c r="F187" s="24"/>
      <c r="G187" s="25"/>
      <c r="H187" s="25"/>
      <c r="I187" s="25"/>
      <c r="J187" s="25"/>
      <c r="K187" s="25"/>
      <c r="L187" s="24"/>
      <c r="M187" s="1"/>
    </row>
    <row r="188" ht="24.75" customHeight="1">
      <c r="A188" s="1"/>
      <c r="B188" s="22"/>
      <c r="C188" s="23"/>
      <c r="D188" s="23"/>
      <c r="E188" s="23"/>
      <c r="F188" s="24"/>
      <c r="G188" s="25"/>
      <c r="H188" s="25"/>
      <c r="I188" s="25"/>
      <c r="J188" s="25"/>
      <c r="K188" s="25"/>
      <c r="L188" s="24"/>
      <c r="M188" s="1"/>
    </row>
    <row r="189" ht="24.75" customHeight="1">
      <c r="A189" s="1"/>
      <c r="B189" s="22"/>
      <c r="C189" s="23"/>
      <c r="D189" s="23"/>
      <c r="E189" s="23"/>
      <c r="F189" s="24"/>
      <c r="G189" s="25"/>
      <c r="H189" s="25"/>
      <c r="I189" s="25"/>
      <c r="J189" s="25"/>
      <c r="K189" s="25"/>
      <c r="L189" s="24"/>
      <c r="M189" s="1"/>
    </row>
    <row r="190" ht="24.75" customHeight="1">
      <c r="A190" s="1"/>
      <c r="B190" s="22"/>
      <c r="C190" s="23"/>
      <c r="D190" s="23"/>
      <c r="E190" s="23"/>
      <c r="F190" s="24"/>
      <c r="G190" s="25"/>
      <c r="H190" s="25"/>
      <c r="I190" s="25"/>
      <c r="J190" s="25"/>
      <c r="K190" s="25"/>
      <c r="L190" s="24"/>
      <c r="M190" s="1"/>
    </row>
    <row r="191" ht="24.75" customHeight="1">
      <c r="A191" s="1"/>
      <c r="B191" s="22"/>
      <c r="C191" s="23"/>
      <c r="D191" s="23"/>
      <c r="E191" s="23"/>
      <c r="F191" s="24"/>
      <c r="G191" s="25"/>
      <c r="H191" s="25"/>
      <c r="I191" s="25"/>
      <c r="J191" s="25"/>
      <c r="K191" s="25"/>
      <c r="L191" s="24"/>
      <c r="M191" s="1"/>
    </row>
    <row r="192" ht="24.75" customHeight="1">
      <c r="A192" s="1"/>
      <c r="B192" s="22"/>
      <c r="C192" s="23"/>
      <c r="D192" s="23"/>
      <c r="E192" s="23"/>
      <c r="F192" s="24"/>
      <c r="G192" s="25"/>
      <c r="H192" s="25"/>
      <c r="I192" s="25"/>
      <c r="J192" s="25"/>
      <c r="K192" s="25"/>
      <c r="L192" s="24"/>
      <c r="M192" s="1"/>
    </row>
    <row r="193" ht="24.75" customHeight="1">
      <c r="A193" s="1"/>
      <c r="B193" s="22"/>
      <c r="C193" s="23"/>
      <c r="D193" s="23"/>
      <c r="E193" s="23"/>
      <c r="F193" s="24"/>
      <c r="G193" s="25"/>
      <c r="H193" s="25"/>
      <c r="I193" s="25"/>
      <c r="J193" s="25"/>
      <c r="K193" s="25"/>
      <c r="L193" s="24"/>
      <c r="M193" s="1"/>
    </row>
    <row r="194" ht="24.75" customHeight="1">
      <c r="A194" s="1"/>
      <c r="B194" s="22"/>
      <c r="C194" s="23"/>
      <c r="D194" s="23"/>
      <c r="E194" s="23"/>
      <c r="F194" s="24"/>
      <c r="G194" s="25"/>
      <c r="H194" s="25"/>
      <c r="I194" s="25"/>
      <c r="J194" s="25"/>
      <c r="K194" s="25"/>
      <c r="L194" s="24"/>
      <c r="M194" s="1"/>
    </row>
    <row r="195" ht="24.75" customHeight="1">
      <c r="A195" s="1"/>
      <c r="B195" s="22"/>
      <c r="C195" s="23"/>
      <c r="D195" s="23"/>
      <c r="E195" s="23"/>
      <c r="F195" s="24"/>
      <c r="G195" s="25"/>
      <c r="H195" s="25"/>
      <c r="I195" s="25"/>
      <c r="J195" s="25"/>
      <c r="K195" s="25"/>
      <c r="L195" s="24"/>
      <c r="M195" s="1"/>
    </row>
    <row r="196" ht="24.75" customHeight="1">
      <c r="A196" s="1"/>
      <c r="B196" s="22"/>
      <c r="C196" s="23"/>
      <c r="D196" s="23"/>
      <c r="E196" s="23"/>
      <c r="F196" s="24"/>
      <c r="G196" s="25"/>
      <c r="H196" s="25"/>
      <c r="I196" s="25"/>
      <c r="J196" s="25"/>
      <c r="K196" s="25"/>
      <c r="L196" s="24"/>
      <c r="M196" s="1"/>
    </row>
    <row r="197" ht="24.75" customHeight="1">
      <c r="A197" s="1"/>
      <c r="B197" s="22"/>
      <c r="C197" s="23"/>
      <c r="D197" s="23"/>
      <c r="E197" s="23"/>
      <c r="F197" s="24"/>
      <c r="G197" s="25"/>
      <c r="H197" s="25"/>
      <c r="I197" s="25"/>
      <c r="J197" s="25"/>
      <c r="K197" s="25"/>
      <c r="L197" s="24"/>
      <c r="M197" s="1"/>
    </row>
    <row r="198" ht="24.75" customHeight="1">
      <c r="A198" s="1"/>
      <c r="B198" s="22"/>
      <c r="C198" s="23"/>
      <c r="D198" s="23"/>
      <c r="E198" s="23"/>
      <c r="F198" s="24"/>
      <c r="G198" s="25"/>
      <c r="H198" s="25"/>
      <c r="I198" s="25"/>
      <c r="J198" s="25"/>
      <c r="K198" s="25"/>
      <c r="L198" s="24"/>
      <c r="M198" s="1"/>
    </row>
    <row r="199" ht="24.75" customHeight="1">
      <c r="A199" s="1"/>
      <c r="B199" s="22"/>
      <c r="C199" s="23"/>
      <c r="D199" s="23"/>
      <c r="E199" s="23"/>
      <c r="F199" s="24"/>
      <c r="G199" s="25"/>
      <c r="H199" s="25"/>
      <c r="I199" s="25"/>
      <c r="J199" s="25"/>
      <c r="K199" s="25"/>
      <c r="L199" s="24"/>
      <c r="M199" s="1"/>
    </row>
    <row r="200" ht="24.75" customHeight="1">
      <c r="A200" s="1"/>
      <c r="B200" s="22"/>
      <c r="C200" s="23"/>
      <c r="D200" s="23"/>
      <c r="E200" s="23"/>
      <c r="F200" s="24"/>
      <c r="G200" s="25"/>
      <c r="H200" s="25"/>
      <c r="I200" s="25"/>
      <c r="J200" s="25"/>
      <c r="K200" s="25"/>
      <c r="L200" s="24"/>
      <c r="M200" s="1"/>
    </row>
    <row r="201" ht="24.75" customHeight="1">
      <c r="A201" s="1"/>
      <c r="B201" s="22"/>
      <c r="C201" s="23"/>
      <c r="D201" s="23"/>
      <c r="E201" s="23"/>
      <c r="F201" s="24"/>
      <c r="G201" s="25"/>
      <c r="H201" s="25"/>
      <c r="I201" s="25"/>
      <c r="J201" s="25"/>
      <c r="K201" s="25"/>
      <c r="L201" s="24"/>
      <c r="M201" s="1"/>
    </row>
    <row r="202" ht="24.75" customHeight="1">
      <c r="A202" s="1"/>
      <c r="B202" s="22"/>
      <c r="C202" s="23"/>
      <c r="D202" s="23"/>
      <c r="E202" s="23"/>
      <c r="F202" s="24"/>
      <c r="G202" s="25"/>
      <c r="H202" s="25"/>
      <c r="I202" s="25"/>
      <c r="J202" s="25"/>
      <c r="K202" s="25"/>
      <c r="L202" s="24"/>
      <c r="M202" s="1"/>
    </row>
    <row r="203" ht="24.75" customHeight="1">
      <c r="A203" s="1"/>
      <c r="B203" s="22"/>
      <c r="C203" s="23"/>
      <c r="D203" s="23"/>
      <c r="E203" s="23"/>
      <c r="F203" s="24"/>
      <c r="G203" s="25"/>
      <c r="H203" s="25"/>
      <c r="I203" s="25"/>
      <c r="J203" s="25"/>
      <c r="K203" s="25"/>
      <c r="L203" s="24"/>
      <c r="M203" s="1"/>
    </row>
    <row r="204" ht="24.75" customHeight="1">
      <c r="A204" s="1"/>
      <c r="B204" s="22"/>
      <c r="C204" s="23"/>
      <c r="D204" s="23"/>
      <c r="E204" s="23"/>
      <c r="F204" s="24"/>
      <c r="G204" s="25"/>
      <c r="H204" s="25"/>
      <c r="I204" s="25"/>
      <c r="J204" s="25"/>
      <c r="K204" s="25"/>
      <c r="L204" s="24"/>
      <c r="M204" s="1"/>
    </row>
    <row r="205" ht="24.75" customHeight="1">
      <c r="A205" s="1"/>
      <c r="B205" s="22"/>
      <c r="C205" s="23"/>
      <c r="D205" s="23"/>
      <c r="E205" s="23"/>
      <c r="F205" s="24"/>
      <c r="G205" s="25"/>
      <c r="H205" s="25"/>
      <c r="I205" s="25"/>
      <c r="J205" s="25"/>
      <c r="K205" s="25"/>
      <c r="L205" s="24"/>
      <c r="M205" s="1"/>
    </row>
    <row r="206" ht="24.75" customHeight="1">
      <c r="A206" s="1"/>
      <c r="B206" s="22"/>
      <c r="C206" s="23"/>
      <c r="D206" s="23"/>
      <c r="E206" s="23"/>
      <c r="F206" s="24"/>
      <c r="G206" s="25"/>
      <c r="H206" s="25"/>
      <c r="I206" s="25"/>
      <c r="J206" s="25"/>
      <c r="K206" s="25"/>
      <c r="L206" s="24"/>
      <c r="M206" s="1"/>
    </row>
    <row r="207" ht="24.75" customHeight="1">
      <c r="A207" s="1"/>
      <c r="B207" s="22"/>
      <c r="C207" s="23"/>
      <c r="D207" s="23"/>
      <c r="E207" s="23"/>
      <c r="F207" s="24"/>
      <c r="G207" s="25"/>
      <c r="H207" s="25"/>
      <c r="I207" s="25"/>
      <c r="J207" s="25"/>
      <c r="K207" s="25"/>
      <c r="L207" s="24"/>
      <c r="M207" s="1"/>
    </row>
    <row r="208" ht="24.75" customHeight="1">
      <c r="A208" s="1"/>
      <c r="B208" s="22"/>
      <c r="C208" s="23"/>
      <c r="D208" s="23"/>
      <c r="E208" s="23"/>
      <c r="F208" s="24"/>
      <c r="G208" s="25"/>
      <c r="H208" s="25"/>
      <c r="I208" s="25"/>
      <c r="J208" s="25"/>
      <c r="K208" s="25"/>
      <c r="L208" s="24"/>
      <c r="M208" s="1"/>
    </row>
    <row r="209" ht="24.75" customHeight="1">
      <c r="A209" s="1"/>
      <c r="B209" s="22"/>
      <c r="C209" s="23"/>
      <c r="D209" s="23"/>
      <c r="E209" s="23"/>
      <c r="F209" s="24"/>
      <c r="G209" s="25"/>
      <c r="H209" s="25"/>
      <c r="I209" s="25"/>
      <c r="J209" s="25"/>
      <c r="K209" s="25"/>
      <c r="L209" s="24"/>
      <c r="M209" s="1"/>
    </row>
    <row r="210" ht="24.75" customHeight="1">
      <c r="A210" s="1"/>
      <c r="B210" s="22"/>
      <c r="C210" s="23"/>
      <c r="D210" s="23"/>
      <c r="E210" s="23"/>
      <c r="F210" s="24"/>
      <c r="G210" s="25"/>
      <c r="H210" s="25"/>
      <c r="I210" s="25"/>
      <c r="J210" s="25"/>
      <c r="K210" s="25"/>
      <c r="L210" s="24"/>
      <c r="M210" s="1"/>
    </row>
    <row r="211" ht="24.75" customHeight="1">
      <c r="A211" s="1"/>
      <c r="B211" s="22"/>
      <c r="C211" s="23"/>
      <c r="D211" s="23"/>
      <c r="E211" s="23"/>
      <c r="F211" s="24"/>
      <c r="G211" s="25"/>
      <c r="H211" s="25"/>
      <c r="I211" s="25"/>
      <c r="J211" s="25"/>
      <c r="K211" s="25"/>
      <c r="L211" s="24"/>
      <c r="M211" s="1"/>
    </row>
    <row r="212" ht="24.75" customHeight="1">
      <c r="A212" s="1"/>
      <c r="B212" s="22"/>
      <c r="C212" s="23"/>
      <c r="D212" s="23"/>
      <c r="E212" s="23"/>
      <c r="F212" s="24"/>
      <c r="G212" s="25"/>
      <c r="H212" s="25"/>
      <c r="I212" s="25"/>
      <c r="J212" s="25"/>
      <c r="K212" s="25"/>
      <c r="L212" s="24"/>
      <c r="M212" s="1"/>
    </row>
    <row r="213" ht="24.75" customHeight="1">
      <c r="A213" s="1"/>
      <c r="B213" s="22"/>
      <c r="C213" s="23"/>
      <c r="D213" s="23"/>
      <c r="E213" s="23"/>
      <c r="F213" s="24"/>
      <c r="G213" s="25"/>
      <c r="H213" s="25"/>
      <c r="I213" s="25"/>
      <c r="J213" s="25"/>
      <c r="K213" s="25"/>
      <c r="L213" s="24"/>
      <c r="M213" s="1"/>
    </row>
    <row r="214" ht="24.75" customHeight="1">
      <c r="A214" s="1"/>
      <c r="B214" s="22"/>
      <c r="C214" s="23"/>
      <c r="D214" s="23"/>
      <c r="E214" s="23"/>
      <c r="F214" s="24"/>
      <c r="G214" s="25"/>
      <c r="H214" s="25"/>
      <c r="I214" s="25"/>
      <c r="J214" s="25"/>
      <c r="K214" s="25"/>
      <c r="L214" s="24"/>
      <c r="M214" s="1"/>
    </row>
    <row r="215" ht="24.75" customHeight="1">
      <c r="A215" s="1"/>
      <c r="B215" s="22"/>
      <c r="C215" s="23"/>
      <c r="D215" s="23"/>
      <c r="E215" s="23"/>
      <c r="F215" s="24"/>
      <c r="G215" s="25"/>
      <c r="H215" s="25"/>
      <c r="I215" s="25"/>
      <c r="J215" s="25"/>
      <c r="K215" s="25"/>
      <c r="L215" s="24"/>
      <c r="M215" s="1"/>
    </row>
    <row r="216" ht="24.75" customHeight="1">
      <c r="A216" s="1"/>
      <c r="B216" s="22"/>
      <c r="C216" s="23"/>
      <c r="D216" s="23"/>
      <c r="E216" s="23"/>
      <c r="F216" s="24"/>
      <c r="G216" s="25"/>
      <c r="H216" s="25"/>
      <c r="I216" s="25"/>
      <c r="J216" s="25"/>
      <c r="K216" s="25"/>
      <c r="L216" s="24"/>
      <c r="M216" s="1"/>
    </row>
    <row r="217" ht="24.75" customHeight="1">
      <c r="A217" s="1"/>
      <c r="B217" s="22"/>
      <c r="C217" s="23"/>
      <c r="D217" s="23"/>
      <c r="E217" s="23"/>
      <c r="F217" s="24"/>
      <c r="G217" s="25"/>
      <c r="H217" s="25"/>
      <c r="I217" s="25"/>
      <c r="J217" s="25"/>
      <c r="K217" s="25"/>
      <c r="L217" s="24"/>
      <c r="M217" s="1"/>
    </row>
    <row r="218" ht="24.75" customHeight="1">
      <c r="A218" s="1"/>
      <c r="B218" s="22"/>
      <c r="C218" s="23"/>
      <c r="D218" s="23"/>
      <c r="E218" s="23"/>
      <c r="F218" s="24"/>
      <c r="G218" s="25"/>
      <c r="H218" s="25"/>
      <c r="I218" s="25"/>
      <c r="J218" s="25"/>
      <c r="K218" s="25"/>
      <c r="L218" s="24"/>
      <c r="M218" s="1"/>
    </row>
    <row r="219" ht="24.75" customHeight="1">
      <c r="A219" s="1"/>
      <c r="B219" s="22"/>
      <c r="C219" s="23"/>
      <c r="D219" s="23"/>
      <c r="E219" s="23"/>
      <c r="F219" s="24"/>
      <c r="G219" s="25"/>
      <c r="H219" s="25"/>
      <c r="I219" s="25"/>
      <c r="J219" s="25"/>
      <c r="K219" s="25"/>
      <c r="L219" s="24"/>
      <c r="M219" s="1"/>
    </row>
    <row r="220" ht="24.75" customHeight="1">
      <c r="A220" s="1"/>
      <c r="B220" s="22"/>
      <c r="C220" s="23"/>
      <c r="D220" s="23"/>
      <c r="E220" s="23"/>
      <c r="F220" s="24"/>
      <c r="G220" s="25"/>
      <c r="H220" s="25"/>
      <c r="I220" s="25"/>
      <c r="J220" s="25"/>
      <c r="K220" s="25"/>
      <c r="L220" s="24"/>
      <c r="M220" s="1"/>
    </row>
    <row r="221" ht="24.75" customHeight="1">
      <c r="A221" s="1"/>
      <c r="B221" s="22"/>
      <c r="C221" s="23"/>
      <c r="D221" s="23"/>
      <c r="E221" s="23"/>
      <c r="F221" s="24"/>
      <c r="G221" s="25"/>
      <c r="H221" s="25"/>
      <c r="I221" s="25"/>
      <c r="J221" s="25"/>
      <c r="K221" s="25"/>
      <c r="L221" s="24"/>
      <c r="M221" s="1"/>
    </row>
    <row r="222" ht="24.75" customHeight="1">
      <c r="A222" s="1"/>
      <c r="B222" s="22"/>
      <c r="C222" s="23"/>
      <c r="D222" s="23"/>
      <c r="E222" s="23"/>
      <c r="F222" s="24"/>
      <c r="G222" s="25"/>
      <c r="H222" s="25"/>
      <c r="I222" s="25"/>
      <c r="J222" s="25"/>
      <c r="K222" s="25"/>
      <c r="L222" s="24"/>
      <c r="M222" s="1"/>
    </row>
    <row r="223" ht="24.75" customHeight="1">
      <c r="A223" s="1"/>
      <c r="B223" s="22"/>
      <c r="C223" s="23"/>
      <c r="D223" s="23"/>
      <c r="E223" s="23"/>
      <c r="F223" s="24"/>
      <c r="G223" s="25"/>
      <c r="H223" s="25"/>
      <c r="I223" s="25"/>
      <c r="J223" s="25"/>
      <c r="K223" s="25"/>
      <c r="L223" s="24"/>
      <c r="M223" s="1"/>
    </row>
    <row r="224" ht="24.75" customHeight="1">
      <c r="A224" s="1"/>
      <c r="B224" s="22"/>
      <c r="C224" s="23"/>
      <c r="D224" s="23"/>
      <c r="E224" s="23"/>
      <c r="F224" s="24"/>
      <c r="G224" s="25"/>
      <c r="H224" s="25"/>
      <c r="I224" s="25"/>
      <c r="J224" s="25"/>
      <c r="K224" s="25"/>
      <c r="L224" s="24"/>
      <c r="M224" s="1"/>
    </row>
    <row r="225" ht="24.75" customHeight="1">
      <c r="A225" s="1"/>
      <c r="B225" s="22"/>
      <c r="C225" s="23"/>
      <c r="D225" s="23"/>
      <c r="E225" s="23"/>
      <c r="F225" s="24"/>
      <c r="G225" s="25"/>
      <c r="H225" s="25"/>
      <c r="I225" s="25"/>
      <c r="J225" s="25"/>
      <c r="K225" s="25"/>
      <c r="L225" s="24"/>
      <c r="M225" s="1"/>
    </row>
    <row r="226" ht="24.75" customHeight="1">
      <c r="A226" s="1"/>
      <c r="B226" s="22"/>
      <c r="C226" s="23"/>
      <c r="D226" s="23"/>
      <c r="E226" s="23"/>
      <c r="F226" s="24"/>
      <c r="G226" s="25"/>
      <c r="H226" s="25"/>
      <c r="I226" s="25"/>
      <c r="J226" s="25"/>
      <c r="K226" s="25"/>
      <c r="L226" s="24"/>
      <c r="M226" s="1"/>
    </row>
    <row r="227" ht="24.75" customHeight="1">
      <c r="A227" s="1"/>
      <c r="B227" s="22"/>
      <c r="C227" s="23"/>
      <c r="D227" s="23"/>
      <c r="E227" s="23"/>
      <c r="F227" s="24"/>
      <c r="G227" s="25"/>
      <c r="H227" s="25"/>
      <c r="I227" s="25"/>
      <c r="J227" s="25"/>
      <c r="K227" s="25"/>
      <c r="L227" s="24"/>
      <c r="M227" s="1"/>
    </row>
    <row r="228" ht="24.75" customHeight="1">
      <c r="A228" s="1"/>
      <c r="B228" s="22"/>
      <c r="C228" s="23"/>
      <c r="D228" s="23"/>
      <c r="E228" s="23"/>
      <c r="F228" s="24"/>
      <c r="G228" s="25"/>
      <c r="H228" s="25"/>
      <c r="I228" s="25"/>
      <c r="J228" s="25"/>
      <c r="K228" s="25"/>
      <c r="L228" s="24"/>
      <c r="M228" s="1"/>
    </row>
    <row r="229" ht="24.75" customHeight="1">
      <c r="A229" s="1"/>
      <c r="B229" s="22"/>
      <c r="C229" s="23"/>
      <c r="D229" s="23"/>
      <c r="E229" s="23"/>
      <c r="F229" s="24"/>
      <c r="G229" s="25"/>
      <c r="H229" s="25"/>
      <c r="I229" s="25"/>
      <c r="J229" s="25"/>
      <c r="K229" s="25"/>
      <c r="L229" s="24"/>
      <c r="M229" s="1"/>
    </row>
    <row r="230" ht="24.75" customHeight="1">
      <c r="A230" s="1"/>
      <c r="B230" s="22"/>
      <c r="C230" s="23"/>
      <c r="D230" s="23"/>
      <c r="E230" s="23"/>
      <c r="F230" s="24"/>
      <c r="G230" s="25"/>
      <c r="H230" s="25"/>
      <c r="I230" s="25"/>
      <c r="J230" s="25"/>
      <c r="K230" s="25"/>
      <c r="L230" s="24"/>
      <c r="M230" s="1"/>
    </row>
    <row r="231" ht="24.75" customHeight="1">
      <c r="A231" s="1"/>
      <c r="B231" s="22"/>
      <c r="C231" s="23"/>
      <c r="D231" s="23"/>
      <c r="E231" s="23"/>
      <c r="F231" s="24"/>
      <c r="G231" s="25"/>
      <c r="H231" s="25"/>
      <c r="I231" s="25"/>
      <c r="J231" s="25"/>
      <c r="K231" s="25"/>
      <c r="L231" s="24"/>
      <c r="M231" s="1"/>
    </row>
    <row r="232" ht="24.75" customHeight="1">
      <c r="A232" s="1"/>
      <c r="B232" s="22"/>
      <c r="C232" s="23"/>
      <c r="D232" s="23"/>
      <c r="E232" s="23"/>
      <c r="F232" s="24"/>
      <c r="G232" s="25"/>
      <c r="H232" s="25"/>
      <c r="I232" s="25"/>
      <c r="J232" s="25"/>
      <c r="K232" s="25"/>
      <c r="L232" s="24"/>
      <c r="M232" s="1"/>
    </row>
    <row r="233" ht="24.75" customHeight="1">
      <c r="A233" s="1"/>
      <c r="B233" s="22"/>
      <c r="C233" s="23"/>
      <c r="D233" s="23"/>
      <c r="E233" s="23"/>
      <c r="F233" s="24"/>
      <c r="G233" s="25"/>
      <c r="H233" s="25"/>
      <c r="I233" s="25"/>
      <c r="J233" s="25"/>
      <c r="K233" s="25"/>
      <c r="L233" s="24"/>
      <c r="M233" s="1"/>
    </row>
    <row r="234" ht="24.75" customHeight="1">
      <c r="A234" s="1"/>
      <c r="B234" s="22"/>
      <c r="C234" s="23"/>
      <c r="D234" s="23"/>
      <c r="E234" s="23"/>
      <c r="F234" s="24"/>
      <c r="G234" s="25"/>
      <c r="H234" s="25"/>
      <c r="I234" s="25"/>
      <c r="J234" s="25"/>
      <c r="K234" s="25"/>
      <c r="L234" s="24"/>
      <c r="M234" s="1"/>
    </row>
    <row r="235" ht="24.75" customHeight="1">
      <c r="A235" s="1"/>
      <c r="B235" s="22"/>
      <c r="C235" s="23"/>
      <c r="D235" s="23"/>
      <c r="E235" s="23"/>
      <c r="F235" s="24"/>
      <c r="G235" s="25"/>
      <c r="H235" s="25"/>
      <c r="I235" s="25"/>
      <c r="J235" s="25"/>
      <c r="K235" s="25"/>
      <c r="L235" s="24"/>
      <c r="M235" s="1"/>
    </row>
    <row r="236" ht="24.75" customHeight="1">
      <c r="A236" s="1"/>
      <c r="B236" s="22"/>
      <c r="C236" s="23"/>
      <c r="D236" s="23"/>
      <c r="E236" s="23"/>
      <c r="F236" s="24"/>
      <c r="G236" s="25"/>
      <c r="H236" s="25"/>
      <c r="I236" s="25"/>
      <c r="J236" s="25"/>
      <c r="K236" s="25"/>
      <c r="L236" s="24"/>
      <c r="M236" s="1"/>
    </row>
    <row r="237" ht="24.75" customHeight="1">
      <c r="A237" s="1"/>
      <c r="B237" s="22"/>
      <c r="C237" s="23"/>
      <c r="D237" s="23"/>
      <c r="E237" s="23"/>
      <c r="F237" s="24"/>
      <c r="G237" s="25"/>
      <c r="H237" s="25"/>
      <c r="I237" s="25"/>
      <c r="J237" s="25"/>
      <c r="K237" s="25"/>
      <c r="L237" s="24"/>
      <c r="M237" s="1"/>
    </row>
    <row r="238" ht="24.75" customHeight="1">
      <c r="A238" s="1"/>
      <c r="B238" s="22"/>
      <c r="C238" s="23"/>
      <c r="D238" s="23"/>
      <c r="E238" s="23"/>
      <c r="F238" s="24"/>
      <c r="G238" s="25"/>
      <c r="H238" s="25"/>
      <c r="I238" s="25"/>
      <c r="J238" s="25"/>
      <c r="K238" s="25"/>
      <c r="L238" s="24"/>
      <c r="M238" s="1"/>
    </row>
    <row r="239" ht="24.75" customHeight="1">
      <c r="A239" s="1"/>
      <c r="B239" s="22"/>
      <c r="C239" s="23"/>
      <c r="D239" s="23"/>
      <c r="E239" s="23"/>
      <c r="F239" s="24"/>
      <c r="G239" s="25"/>
      <c r="H239" s="25"/>
      <c r="I239" s="25"/>
      <c r="J239" s="25"/>
      <c r="K239" s="25"/>
      <c r="L239" s="24"/>
      <c r="M239" s="1"/>
    </row>
    <row r="240" ht="24.75" customHeight="1">
      <c r="A240" s="1"/>
      <c r="B240" s="22"/>
      <c r="C240" s="23"/>
      <c r="D240" s="23"/>
      <c r="E240" s="23"/>
      <c r="F240" s="24"/>
      <c r="G240" s="25"/>
      <c r="H240" s="25"/>
      <c r="I240" s="25"/>
      <c r="J240" s="25"/>
      <c r="K240" s="25"/>
      <c r="L240" s="24"/>
      <c r="M240" s="1"/>
    </row>
    <row r="241" ht="24.75" customHeight="1">
      <c r="A241" s="1"/>
      <c r="B241" s="22"/>
      <c r="C241" s="23"/>
      <c r="D241" s="23"/>
      <c r="E241" s="23"/>
      <c r="F241" s="24"/>
      <c r="G241" s="25"/>
      <c r="H241" s="25"/>
      <c r="I241" s="25"/>
      <c r="J241" s="25"/>
      <c r="K241" s="25"/>
      <c r="L241" s="24"/>
      <c r="M241" s="1"/>
    </row>
    <row r="242" ht="24.75" customHeight="1">
      <c r="A242" s="1"/>
      <c r="B242" s="22"/>
      <c r="C242" s="23"/>
      <c r="D242" s="23"/>
      <c r="E242" s="23"/>
      <c r="F242" s="24"/>
      <c r="G242" s="25"/>
      <c r="H242" s="25"/>
      <c r="I242" s="25"/>
      <c r="J242" s="25"/>
      <c r="K242" s="25"/>
      <c r="L242" s="24"/>
      <c r="M242" s="1"/>
    </row>
    <row r="243" ht="24.75" customHeight="1">
      <c r="A243" s="1"/>
      <c r="B243" s="22"/>
      <c r="C243" s="23"/>
      <c r="D243" s="23"/>
      <c r="E243" s="23"/>
      <c r="F243" s="24"/>
      <c r="G243" s="25"/>
      <c r="H243" s="25"/>
      <c r="I243" s="25"/>
      <c r="J243" s="25"/>
      <c r="K243" s="25"/>
      <c r="L243" s="24"/>
      <c r="M243" s="1"/>
    </row>
    <row r="244" ht="24.75" customHeight="1">
      <c r="A244" s="1"/>
      <c r="B244" s="22"/>
      <c r="C244" s="23"/>
      <c r="D244" s="23"/>
      <c r="E244" s="23"/>
      <c r="F244" s="24"/>
      <c r="G244" s="25"/>
      <c r="H244" s="25"/>
      <c r="I244" s="25"/>
      <c r="J244" s="25"/>
      <c r="K244" s="25"/>
      <c r="L244" s="24"/>
      <c r="M244" s="1"/>
    </row>
    <row r="245" ht="24.75" customHeight="1">
      <c r="A245" s="1"/>
      <c r="B245" s="22"/>
      <c r="C245" s="23"/>
      <c r="D245" s="23"/>
      <c r="E245" s="23"/>
      <c r="F245" s="24"/>
      <c r="G245" s="25"/>
      <c r="H245" s="25"/>
      <c r="I245" s="25"/>
      <c r="J245" s="25"/>
      <c r="K245" s="25"/>
      <c r="L245" s="24"/>
      <c r="M245" s="1"/>
    </row>
    <row r="246" ht="24.75" customHeight="1">
      <c r="A246" s="1"/>
      <c r="B246" s="22"/>
      <c r="C246" s="23"/>
      <c r="D246" s="23"/>
      <c r="E246" s="23"/>
      <c r="F246" s="24"/>
      <c r="G246" s="25"/>
      <c r="H246" s="25"/>
      <c r="I246" s="25"/>
      <c r="J246" s="25"/>
      <c r="K246" s="25"/>
      <c r="L246" s="24"/>
      <c r="M246" s="1"/>
    </row>
    <row r="247" ht="24.75" customHeight="1">
      <c r="A247" s="1"/>
      <c r="B247" s="22"/>
      <c r="C247" s="23"/>
      <c r="D247" s="23"/>
      <c r="E247" s="23"/>
      <c r="F247" s="24"/>
      <c r="G247" s="25"/>
      <c r="H247" s="25"/>
      <c r="I247" s="25"/>
      <c r="J247" s="25"/>
      <c r="K247" s="25"/>
      <c r="L247" s="24"/>
      <c r="M247" s="1"/>
    </row>
    <row r="248" ht="24.75" customHeight="1">
      <c r="A248" s="1"/>
      <c r="B248" s="22"/>
      <c r="C248" s="23"/>
      <c r="D248" s="23"/>
      <c r="E248" s="23"/>
      <c r="F248" s="24"/>
      <c r="G248" s="25"/>
      <c r="H248" s="25"/>
      <c r="I248" s="25"/>
      <c r="J248" s="25"/>
      <c r="K248" s="25"/>
      <c r="L248" s="24"/>
      <c r="M248" s="1"/>
    </row>
    <row r="249" ht="24.75" customHeight="1">
      <c r="A249" s="1"/>
      <c r="B249" s="22"/>
      <c r="C249" s="23"/>
      <c r="D249" s="23"/>
      <c r="E249" s="23"/>
      <c r="F249" s="24"/>
      <c r="G249" s="25"/>
      <c r="H249" s="25"/>
      <c r="I249" s="25"/>
      <c r="J249" s="25"/>
      <c r="K249" s="25"/>
      <c r="L249" s="24"/>
      <c r="M249" s="1"/>
    </row>
    <row r="250" ht="24.75" customHeight="1">
      <c r="A250" s="1"/>
      <c r="B250" s="22"/>
      <c r="C250" s="23"/>
      <c r="D250" s="23"/>
      <c r="E250" s="23"/>
      <c r="F250" s="24"/>
      <c r="G250" s="25"/>
      <c r="H250" s="25"/>
      <c r="I250" s="25"/>
      <c r="J250" s="25"/>
      <c r="K250" s="25"/>
      <c r="L250" s="24"/>
      <c r="M250" s="1"/>
    </row>
    <row r="251" ht="24.75" customHeight="1">
      <c r="A251" s="1"/>
      <c r="B251" s="22"/>
      <c r="C251" s="23"/>
      <c r="D251" s="23"/>
      <c r="E251" s="23"/>
      <c r="F251" s="24"/>
      <c r="G251" s="25"/>
      <c r="H251" s="25"/>
      <c r="I251" s="25"/>
      <c r="J251" s="25"/>
      <c r="K251" s="25"/>
      <c r="L251" s="24"/>
      <c r="M251" s="1"/>
    </row>
    <row r="252" ht="24.75" customHeight="1">
      <c r="A252" s="1"/>
      <c r="B252" s="22"/>
      <c r="C252" s="23"/>
      <c r="D252" s="23"/>
      <c r="E252" s="23"/>
      <c r="F252" s="24"/>
      <c r="G252" s="25"/>
      <c r="H252" s="25"/>
      <c r="I252" s="25"/>
      <c r="J252" s="25"/>
      <c r="K252" s="25"/>
      <c r="L252" s="24"/>
      <c r="M252" s="1"/>
    </row>
    <row r="253" ht="24.75" customHeight="1">
      <c r="A253" s="1"/>
      <c r="B253" s="22"/>
      <c r="C253" s="23"/>
      <c r="D253" s="23"/>
      <c r="E253" s="23"/>
      <c r="F253" s="24"/>
      <c r="G253" s="25"/>
      <c r="H253" s="25"/>
      <c r="I253" s="25"/>
      <c r="J253" s="25"/>
      <c r="K253" s="25"/>
      <c r="L253" s="24"/>
      <c r="M253" s="1"/>
    </row>
    <row r="254" ht="24.75" customHeight="1">
      <c r="A254" s="1"/>
      <c r="B254" s="22"/>
      <c r="C254" s="23"/>
      <c r="D254" s="23"/>
      <c r="E254" s="23"/>
      <c r="F254" s="24"/>
      <c r="G254" s="25"/>
      <c r="H254" s="25"/>
      <c r="I254" s="25"/>
      <c r="J254" s="25"/>
      <c r="K254" s="25"/>
      <c r="L254" s="24"/>
      <c r="M254" s="1"/>
    </row>
    <row r="255" ht="24.75" customHeight="1">
      <c r="A255" s="1"/>
      <c r="B255" s="22"/>
      <c r="C255" s="23"/>
      <c r="D255" s="23"/>
      <c r="E255" s="23"/>
      <c r="F255" s="24"/>
      <c r="G255" s="25"/>
      <c r="H255" s="25"/>
      <c r="I255" s="25"/>
      <c r="J255" s="25"/>
      <c r="K255" s="25"/>
      <c r="L255" s="24"/>
      <c r="M255" s="1"/>
    </row>
    <row r="256" ht="24.75" customHeight="1">
      <c r="A256" s="1"/>
      <c r="B256" s="22"/>
      <c r="C256" s="23"/>
      <c r="D256" s="23"/>
      <c r="E256" s="23"/>
      <c r="F256" s="24"/>
      <c r="G256" s="25"/>
      <c r="H256" s="25"/>
      <c r="I256" s="25"/>
      <c r="J256" s="25"/>
      <c r="K256" s="25"/>
      <c r="L256" s="24"/>
      <c r="M256" s="1"/>
    </row>
    <row r="257" ht="24.75" customHeight="1">
      <c r="A257" s="1"/>
      <c r="B257" s="22"/>
      <c r="C257" s="23"/>
      <c r="D257" s="23"/>
      <c r="E257" s="23"/>
      <c r="F257" s="24"/>
      <c r="G257" s="25"/>
      <c r="H257" s="25"/>
      <c r="I257" s="25"/>
      <c r="J257" s="25"/>
      <c r="K257" s="25"/>
      <c r="L257" s="24"/>
      <c r="M257" s="1"/>
    </row>
    <row r="258" ht="24.75" customHeight="1">
      <c r="A258" s="1"/>
      <c r="B258" s="22"/>
      <c r="C258" s="23"/>
      <c r="D258" s="23"/>
      <c r="E258" s="23"/>
      <c r="F258" s="24"/>
      <c r="G258" s="25"/>
      <c r="H258" s="25"/>
      <c r="I258" s="25"/>
      <c r="J258" s="25"/>
      <c r="K258" s="25"/>
      <c r="L258" s="24"/>
      <c r="M258" s="1"/>
    </row>
    <row r="259" ht="24.75" customHeight="1">
      <c r="A259" s="1"/>
      <c r="B259" s="22"/>
      <c r="C259" s="23"/>
      <c r="D259" s="23"/>
      <c r="E259" s="23"/>
      <c r="F259" s="24"/>
      <c r="G259" s="25"/>
      <c r="H259" s="25"/>
      <c r="I259" s="25"/>
      <c r="J259" s="25"/>
      <c r="K259" s="25"/>
      <c r="L259" s="24"/>
      <c r="M259" s="1"/>
    </row>
    <row r="260" ht="24.75" customHeight="1">
      <c r="A260" s="1"/>
      <c r="B260" s="22"/>
      <c r="C260" s="23"/>
      <c r="D260" s="23"/>
      <c r="E260" s="23"/>
      <c r="F260" s="24"/>
      <c r="G260" s="25"/>
      <c r="H260" s="25"/>
      <c r="I260" s="25"/>
      <c r="J260" s="25"/>
      <c r="K260" s="25"/>
      <c r="L260" s="24"/>
      <c r="M260" s="1"/>
    </row>
    <row r="261" ht="24.75" customHeight="1">
      <c r="A261" s="1"/>
      <c r="B261" s="22"/>
      <c r="C261" s="23"/>
      <c r="D261" s="23"/>
      <c r="E261" s="23"/>
      <c r="F261" s="24"/>
      <c r="G261" s="25"/>
      <c r="H261" s="25"/>
      <c r="I261" s="25"/>
      <c r="J261" s="25"/>
      <c r="K261" s="25"/>
      <c r="L261" s="24"/>
      <c r="M261" s="1"/>
    </row>
    <row r="262" ht="24.75" customHeight="1">
      <c r="A262" s="1"/>
      <c r="B262" s="22"/>
      <c r="C262" s="23"/>
      <c r="D262" s="23"/>
      <c r="E262" s="23"/>
      <c r="F262" s="24"/>
      <c r="G262" s="25"/>
      <c r="H262" s="25"/>
      <c r="I262" s="25"/>
      <c r="J262" s="25"/>
      <c r="K262" s="25"/>
      <c r="L262" s="24"/>
      <c r="M262" s="1"/>
    </row>
    <row r="263" ht="24.75" customHeight="1">
      <c r="A263" s="1"/>
      <c r="B263" s="22"/>
      <c r="C263" s="23"/>
      <c r="D263" s="23"/>
      <c r="E263" s="23"/>
      <c r="F263" s="24"/>
      <c r="G263" s="25"/>
      <c r="H263" s="25"/>
      <c r="I263" s="25"/>
      <c r="J263" s="25"/>
      <c r="K263" s="25"/>
      <c r="L263" s="24"/>
      <c r="M263" s="1"/>
    </row>
    <row r="264" ht="24.75" customHeight="1">
      <c r="A264" s="1"/>
      <c r="B264" s="22"/>
      <c r="C264" s="23"/>
      <c r="D264" s="23"/>
      <c r="E264" s="23"/>
      <c r="F264" s="24"/>
      <c r="G264" s="25"/>
      <c r="H264" s="25"/>
      <c r="I264" s="25"/>
      <c r="J264" s="25"/>
      <c r="K264" s="25"/>
      <c r="L264" s="24"/>
      <c r="M264" s="1"/>
    </row>
    <row r="265" ht="24.75" customHeight="1">
      <c r="A265" s="1"/>
      <c r="B265" s="22"/>
      <c r="C265" s="23"/>
      <c r="D265" s="23"/>
      <c r="E265" s="23"/>
      <c r="F265" s="24"/>
      <c r="G265" s="25"/>
      <c r="H265" s="25"/>
      <c r="I265" s="25"/>
      <c r="J265" s="25"/>
      <c r="K265" s="25"/>
      <c r="L265" s="24"/>
      <c r="M265" s="1"/>
    </row>
    <row r="266" ht="24.75" customHeight="1">
      <c r="A266" s="1"/>
      <c r="B266" s="22"/>
      <c r="C266" s="23"/>
      <c r="D266" s="23"/>
      <c r="E266" s="23"/>
      <c r="F266" s="24"/>
      <c r="G266" s="25"/>
      <c r="H266" s="25"/>
      <c r="I266" s="25"/>
      <c r="J266" s="25"/>
      <c r="K266" s="25"/>
      <c r="L266" s="24"/>
      <c r="M266" s="1"/>
    </row>
    <row r="267" ht="24.75" customHeight="1">
      <c r="A267" s="1"/>
      <c r="B267" s="22"/>
      <c r="C267" s="23"/>
      <c r="D267" s="23"/>
      <c r="E267" s="23"/>
      <c r="F267" s="24"/>
      <c r="G267" s="25"/>
      <c r="H267" s="25"/>
      <c r="I267" s="25"/>
      <c r="J267" s="25"/>
      <c r="K267" s="25"/>
      <c r="L267" s="24"/>
      <c r="M267" s="1"/>
    </row>
    <row r="268" ht="24.75" customHeight="1">
      <c r="A268" s="1"/>
      <c r="B268" s="22"/>
      <c r="C268" s="23"/>
      <c r="D268" s="23"/>
      <c r="E268" s="23"/>
      <c r="F268" s="24"/>
      <c r="G268" s="25"/>
      <c r="H268" s="25"/>
      <c r="I268" s="25"/>
      <c r="J268" s="25"/>
      <c r="K268" s="25"/>
      <c r="L268" s="24"/>
      <c r="M268" s="1"/>
    </row>
    <row r="269" ht="24.75" customHeight="1">
      <c r="A269" s="1"/>
      <c r="B269" s="22"/>
      <c r="C269" s="23"/>
      <c r="D269" s="23"/>
      <c r="E269" s="23"/>
      <c r="F269" s="24"/>
      <c r="G269" s="25"/>
      <c r="H269" s="25"/>
      <c r="I269" s="25"/>
      <c r="J269" s="25"/>
      <c r="K269" s="25"/>
      <c r="L269" s="24"/>
      <c r="M269" s="1"/>
    </row>
    <row r="270" ht="24.75" customHeight="1">
      <c r="A270" s="1"/>
      <c r="B270" s="22"/>
      <c r="C270" s="23"/>
      <c r="D270" s="23"/>
      <c r="E270" s="23"/>
      <c r="F270" s="24"/>
      <c r="G270" s="25"/>
      <c r="H270" s="25"/>
      <c r="I270" s="25"/>
      <c r="J270" s="25"/>
      <c r="K270" s="25"/>
      <c r="L270" s="24"/>
      <c r="M270" s="1"/>
    </row>
    <row r="271" ht="24.75" customHeight="1">
      <c r="A271" s="1"/>
      <c r="B271" s="22"/>
      <c r="C271" s="23"/>
      <c r="D271" s="23"/>
      <c r="E271" s="23"/>
      <c r="F271" s="24"/>
      <c r="G271" s="25"/>
      <c r="H271" s="25"/>
      <c r="I271" s="25"/>
      <c r="J271" s="25"/>
      <c r="K271" s="25"/>
      <c r="L271" s="24"/>
      <c r="M271" s="1"/>
    </row>
    <row r="272" ht="24.75" customHeight="1">
      <c r="A272" s="1"/>
      <c r="B272" s="22"/>
      <c r="C272" s="23"/>
      <c r="D272" s="23"/>
      <c r="E272" s="23"/>
      <c r="F272" s="24"/>
      <c r="G272" s="25"/>
      <c r="H272" s="25"/>
      <c r="I272" s="25"/>
      <c r="J272" s="25"/>
      <c r="K272" s="25"/>
      <c r="L272" s="24"/>
      <c r="M272" s="1"/>
    </row>
    <row r="273" ht="24.75" customHeight="1">
      <c r="A273" s="1"/>
      <c r="B273" s="22"/>
      <c r="C273" s="23"/>
      <c r="D273" s="23"/>
      <c r="E273" s="23"/>
      <c r="F273" s="24"/>
      <c r="G273" s="25"/>
      <c r="H273" s="25"/>
      <c r="I273" s="25"/>
      <c r="J273" s="25"/>
      <c r="K273" s="25"/>
      <c r="L273" s="24"/>
      <c r="M273" s="1"/>
    </row>
    <row r="274" ht="24.75" customHeight="1">
      <c r="A274" s="1"/>
      <c r="B274" s="22"/>
      <c r="C274" s="23"/>
      <c r="D274" s="23"/>
      <c r="E274" s="23"/>
      <c r="F274" s="24"/>
      <c r="G274" s="25"/>
      <c r="H274" s="25"/>
      <c r="I274" s="25"/>
      <c r="J274" s="25"/>
      <c r="K274" s="25"/>
      <c r="L274" s="24"/>
      <c r="M274" s="1"/>
    </row>
    <row r="275" ht="24.75" customHeight="1">
      <c r="A275" s="1"/>
      <c r="B275" s="22"/>
      <c r="C275" s="23"/>
      <c r="D275" s="23"/>
      <c r="E275" s="23"/>
      <c r="F275" s="24"/>
      <c r="G275" s="25"/>
      <c r="H275" s="25"/>
      <c r="I275" s="25"/>
      <c r="J275" s="25"/>
      <c r="K275" s="25"/>
      <c r="L275" s="24"/>
      <c r="M275" s="1"/>
    </row>
    <row r="276" ht="24.75" customHeight="1">
      <c r="A276" s="1"/>
      <c r="B276" s="22"/>
      <c r="C276" s="23"/>
      <c r="D276" s="23"/>
      <c r="E276" s="23"/>
      <c r="F276" s="24"/>
      <c r="G276" s="25"/>
      <c r="H276" s="25"/>
      <c r="I276" s="25"/>
      <c r="J276" s="25"/>
      <c r="K276" s="25"/>
      <c r="L276" s="24"/>
      <c r="M276" s="1"/>
    </row>
    <row r="277" ht="24.75" customHeight="1">
      <c r="A277" s="1"/>
      <c r="B277" s="22"/>
      <c r="C277" s="23"/>
      <c r="D277" s="23"/>
      <c r="E277" s="23"/>
      <c r="F277" s="24"/>
      <c r="G277" s="25"/>
      <c r="H277" s="25"/>
      <c r="I277" s="25"/>
      <c r="J277" s="25"/>
      <c r="K277" s="25"/>
      <c r="L277" s="24"/>
      <c r="M277" s="1"/>
    </row>
    <row r="278" ht="24.75" customHeight="1">
      <c r="A278" s="1"/>
      <c r="B278" s="22"/>
      <c r="C278" s="23"/>
      <c r="D278" s="23"/>
      <c r="E278" s="23"/>
      <c r="F278" s="24"/>
      <c r="G278" s="25"/>
      <c r="H278" s="25"/>
      <c r="I278" s="25"/>
      <c r="J278" s="25"/>
      <c r="K278" s="25"/>
      <c r="L278" s="24"/>
      <c r="M278" s="1"/>
    </row>
    <row r="279" ht="24.75" customHeight="1">
      <c r="A279" s="1"/>
      <c r="B279" s="22"/>
      <c r="C279" s="23"/>
      <c r="D279" s="23"/>
      <c r="E279" s="23"/>
      <c r="F279" s="24"/>
      <c r="G279" s="25"/>
      <c r="H279" s="25"/>
      <c r="I279" s="25"/>
      <c r="J279" s="25"/>
      <c r="K279" s="25"/>
      <c r="L279" s="24"/>
      <c r="M279" s="1"/>
    </row>
    <row r="280" ht="24.75" customHeight="1">
      <c r="A280" s="1"/>
      <c r="B280" s="22"/>
      <c r="C280" s="23"/>
      <c r="D280" s="23"/>
      <c r="E280" s="23"/>
      <c r="F280" s="24"/>
      <c r="G280" s="25"/>
      <c r="H280" s="25"/>
      <c r="I280" s="25"/>
      <c r="J280" s="25"/>
      <c r="K280" s="25"/>
      <c r="L280" s="24"/>
      <c r="M280" s="1"/>
    </row>
    <row r="281" ht="24.75" customHeight="1">
      <c r="A281" s="1"/>
      <c r="B281" s="22"/>
      <c r="C281" s="23"/>
      <c r="D281" s="23"/>
      <c r="E281" s="23"/>
      <c r="F281" s="24"/>
      <c r="G281" s="25"/>
      <c r="H281" s="25"/>
      <c r="I281" s="25"/>
      <c r="J281" s="25"/>
      <c r="K281" s="25"/>
      <c r="L281" s="24"/>
      <c r="M281" s="1"/>
    </row>
    <row r="282" ht="24.75" customHeight="1">
      <c r="A282" s="1"/>
      <c r="B282" s="22"/>
      <c r="C282" s="23"/>
      <c r="D282" s="23"/>
      <c r="E282" s="23"/>
      <c r="F282" s="24"/>
      <c r="G282" s="25"/>
      <c r="H282" s="25"/>
      <c r="I282" s="25"/>
      <c r="J282" s="25"/>
      <c r="K282" s="25"/>
      <c r="L282" s="24"/>
      <c r="M282" s="1"/>
    </row>
    <row r="283" ht="24.75" customHeight="1">
      <c r="A283" s="1"/>
      <c r="B283" s="22"/>
      <c r="C283" s="23"/>
      <c r="D283" s="23"/>
      <c r="E283" s="23"/>
      <c r="F283" s="24"/>
      <c r="G283" s="25"/>
      <c r="H283" s="25"/>
      <c r="I283" s="25"/>
      <c r="J283" s="25"/>
      <c r="K283" s="25"/>
      <c r="L283" s="24"/>
      <c r="M283" s="1"/>
    </row>
    <row r="284" ht="24.75" customHeight="1">
      <c r="A284" s="1"/>
      <c r="B284" s="22"/>
      <c r="C284" s="23"/>
      <c r="D284" s="23"/>
      <c r="E284" s="23"/>
      <c r="F284" s="24"/>
      <c r="G284" s="25"/>
      <c r="H284" s="25"/>
      <c r="I284" s="25"/>
      <c r="J284" s="25"/>
      <c r="K284" s="25"/>
      <c r="L284" s="24"/>
      <c r="M284" s="1"/>
    </row>
    <row r="285" ht="24.75" customHeight="1">
      <c r="A285" s="1"/>
      <c r="B285" s="22"/>
      <c r="C285" s="23"/>
      <c r="D285" s="23"/>
      <c r="E285" s="23"/>
      <c r="F285" s="24"/>
      <c r="G285" s="25"/>
      <c r="H285" s="25"/>
      <c r="I285" s="25"/>
      <c r="J285" s="25"/>
      <c r="K285" s="25"/>
      <c r="L285" s="24"/>
      <c r="M285" s="1"/>
    </row>
    <row r="286" ht="24.75" customHeight="1">
      <c r="A286" s="1"/>
      <c r="B286" s="22"/>
      <c r="C286" s="23"/>
      <c r="D286" s="23"/>
      <c r="E286" s="23"/>
      <c r="F286" s="24"/>
      <c r="G286" s="25"/>
      <c r="H286" s="25"/>
      <c r="I286" s="25"/>
      <c r="J286" s="25"/>
      <c r="K286" s="25"/>
      <c r="L286" s="24"/>
      <c r="M286" s="1"/>
    </row>
    <row r="287" ht="24.75" customHeight="1">
      <c r="A287" s="1"/>
      <c r="B287" s="22"/>
      <c r="C287" s="23"/>
      <c r="D287" s="23"/>
      <c r="E287" s="23"/>
      <c r="F287" s="24"/>
      <c r="G287" s="25"/>
      <c r="H287" s="25"/>
      <c r="I287" s="25"/>
      <c r="J287" s="25"/>
      <c r="K287" s="25"/>
      <c r="L287" s="24"/>
      <c r="M287" s="1"/>
    </row>
    <row r="288" ht="24.75" customHeight="1">
      <c r="A288" s="1"/>
      <c r="B288" s="22"/>
      <c r="C288" s="23"/>
      <c r="D288" s="23"/>
      <c r="E288" s="23"/>
      <c r="F288" s="24"/>
      <c r="G288" s="25"/>
      <c r="H288" s="25"/>
      <c r="I288" s="25"/>
      <c r="J288" s="25"/>
      <c r="K288" s="25"/>
      <c r="L288" s="24"/>
      <c r="M288" s="1"/>
    </row>
    <row r="289" ht="24.75" customHeight="1">
      <c r="A289" s="1"/>
      <c r="B289" s="22"/>
      <c r="C289" s="23"/>
      <c r="D289" s="23"/>
      <c r="E289" s="23"/>
      <c r="F289" s="24"/>
      <c r="G289" s="25"/>
      <c r="H289" s="25"/>
      <c r="I289" s="25"/>
      <c r="J289" s="25"/>
      <c r="K289" s="25"/>
      <c r="L289" s="24"/>
      <c r="M289" s="1"/>
    </row>
    <row r="290" ht="24.75" customHeight="1">
      <c r="A290" s="1"/>
      <c r="B290" s="22"/>
      <c r="C290" s="23"/>
      <c r="D290" s="23"/>
      <c r="E290" s="23"/>
      <c r="F290" s="24"/>
      <c r="G290" s="25"/>
      <c r="H290" s="25"/>
      <c r="I290" s="25"/>
      <c r="J290" s="25"/>
      <c r="K290" s="25"/>
      <c r="L290" s="24"/>
      <c r="M290" s="1"/>
    </row>
    <row r="291" ht="24.75" customHeight="1">
      <c r="A291" s="1"/>
      <c r="B291" s="22"/>
      <c r="C291" s="23"/>
      <c r="D291" s="23"/>
      <c r="E291" s="23"/>
      <c r="F291" s="24"/>
      <c r="G291" s="25"/>
      <c r="H291" s="25"/>
      <c r="I291" s="25"/>
      <c r="J291" s="25"/>
      <c r="K291" s="25"/>
      <c r="L291" s="24"/>
      <c r="M291" s="1"/>
    </row>
    <row r="292" ht="24.75" customHeight="1">
      <c r="A292" s="1"/>
      <c r="B292" s="22"/>
      <c r="C292" s="23"/>
      <c r="D292" s="23"/>
      <c r="E292" s="23"/>
      <c r="F292" s="24"/>
      <c r="G292" s="25"/>
      <c r="H292" s="25"/>
      <c r="I292" s="25"/>
      <c r="J292" s="25"/>
      <c r="K292" s="25"/>
      <c r="L292" s="24"/>
      <c r="M292" s="1"/>
    </row>
    <row r="293" ht="24.75" customHeight="1">
      <c r="A293" s="1"/>
      <c r="B293" s="22"/>
      <c r="C293" s="23"/>
      <c r="D293" s="23"/>
      <c r="E293" s="23"/>
      <c r="F293" s="24"/>
      <c r="G293" s="25"/>
      <c r="H293" s="25"/>
      <c r="I293" s="25"/>
      <c r="J293" s="25"/>
      <c r="K293" s="25"/>
      <c r="L293" s="24"/>
      <c r="M293" s="1"/>
    </row>
    <row r="294" ht="24.75" customHeight="1">
      <c r="A294" s="1"/>
      <c r="B294" s="22"/>
      <c r="C294" s="23"/>
      <c r="D294" s="23"/>
      <c r="E294" s="23"/>
      <c r="F294" s="24"/>
      <c r="G294" s="25"/>
      <c r="H294" s="25"/>
      <c r="I294" s="25"/>
      <c r="J294" s="25"/>
      <c r="K294" s="25"/>
      <c r="L294" s="24"/>
      <c r="M294" s="1"/>
    </row>
    <row r="295" ht="24.75" customHeight="1">
      <c r="A295" s="1"/>
      <c r="B295" s="22"/>
      <c r="C295" s="23"/>
      <c r="D295" s="23"/>
      <c r="E295" s="23"/>
      <c r="F295" s="24"/>
      <c r="G295" s="25"/>
      <c r="H295" s="25"/>
      <c r="I295" s="25"/>
      <c r="J295" s="25"/>
      <c r="K295" s="25"/>
      <c r="L295" s="24"/>
      <c r="M295" s="1"/>
    </row>
    <row r="296" ht="24.75" customHeight="1">
      <c r="A296" s="1"/>
      <c r="B296" s="22"/>
      <c r="C296" s="23"/>
      <c r="D296" s="23"/>
      <c r="E296" s="23"/>
      <c r="F296" s="24"/>
      <c r="G296" s="25"/>
      <c r="H296" s="25"/>
      <c r="I296" s="25"/>
      <c r="J296" s="25"/>
      <c r="K296" s="25"/>
      <c r="L296" s="24"/>
      <c r="M296" s="1"/>
    </row>
    <row r="297" ht="24.75" customHeight="1">
      <c r="A297" s="1"/>
      <c r="B297" s="22"/>
      <c r="C297" s="23"/>
      <c r="D297" s="23"/>
      <c r="E297" s="23"/>
      <c r="F297" s="24"/>
      <c r="G297" s="25"/>
      <c r="H297" s="25"/>
      <c r="I297" s="25"/>
      <c r="J297" s="25"/>
      <c r="K297" s="25"/>
      <c r="L297" s="24"/>
      <c r="M297" s="1"/>
    </row>
    <row r="298" ht="24.75" customHeight="1">
      <c r="A298" s="1"/>
      <c r="B298" s="22"/>
      <c r="C298" s="23"/>
      <c r="D298" s="23"/>
      <c r="E298" s="23"/>
      <c r="F298" s="24"/>
      <c r="G298" s="25"/>
      <c r="H298" s="25"/>
      <c r="I298" s="25"/>
      <c r="J298" s="25"/>
      <c r="K298" s="25"/>
      <c r="L298" s="24"/>
      <c r="M298" s="1"/>
    </row>
    <row r="299" ht="24.75" customHeight="1">
      <c r="A299" s="1"/>
      <c r="B299" s="22"/>
      <c r="C299" s="23"/>
      <c r="D299" s="23"/>
      <c r="E299" s="23"/>
      <c r="F299" s="24"/>
      <c r="G299" s="25"/>
      <c r="H299" s="25"/>
      <c r="I299" s="25"/>
      <c r="J299" s="25"/>
      <c r="K299" s="25"/>
      <c r="L299" s="24"/>
      <c r="M299" s="1"/>
    </row>
    <row r="300" ht="24.75" customHeight="1">
      <c r="A300" s="1"/>
      <c r="B300" s="22"/>
      <c r="C300" s="23"/>
      <c r="D300" s="23"/>
      <c r="E300" s="23"/>
      <c r="F300" s="24"/>
      <c r="G300" s="25"/>
      <c r="H300" s="25"/>
      <c r="I300" s="25"/>
      <c r="J300" s="25"/>
      <c r="K300" s="25"/>
      <c r="L300" s="24"/>
      <c r="M300" s="1"/>
    </row>
    <row r="301" ht="24.75" customHeight="1">
      <c r="A301" s="1"/>
      <c r="B301" s="22"/>
      <c r="C301" s="23"/>
      <c r="D301" s="23"/>
      <c r="E301" s="23"/>
      <c r="F301" s="24"/>
      <c r="G301" s="25"/>
      <c r="H301" s="25"/>
      <c r="I301" s="25"/>
      <c r="J301" s="25"/>
      <c r="K301" s="25"/>
      <c r="L301" s="24"/>
      <c r="M301" s="1"/>
    </row>
    <row r="302" ht="24.75" customHeight="1">
      <c r="A302" s="1"/>
      <c r="B302" s="22"/>
      <c r="C302" s="23"/>
      <c r="D302" s="23"/>
      <c r="E302" s="23"/>
      <c r="F302" s="24"/>
      <c r="G302" s="25"/>
      <c r="H302" s="25"/>
      <c r="I302" s="25"/>
      <c r="J302" s="25"/>
      <c r="K302" s="25"/>
      <c r="L302" s="24"/>
      <c r="M302" s="1"/>
    </row>
    <row r="303" ht="24.75" customHeight="1">
      <c r="A303" s="1"/>
      <c r="B303" s="22"/>
      <c r="C303" s="23"/>
      <c r="D303" s="23"/>
      <c r="E303" s="23"/>
      <c r="F303" s="24"/>
      <c r="G303" s="25"/>
      <c r="H303" s="25"/>
      <c r="I303" s="25"/>
      <c r="J303" s="25"/>
      <c r="K303" s="25"/>
      <c r="L303" s="24"/>
      <c r="M303" s="1"/>
    </row>
    <row r="304" ht="24.75" customHeight="1">
      <c r="A304" s="1"/>
      <c r="B304" s="22"/>
      <c r="C304" s="23"/>
      <c r="D304" s="23"/>
      <c r="E304" s="23"/>
      <c r="F304" s="24"/>
      <c r="G304" s="25"/>
      <c r="H304" s="25"/>
      <c r="I304" s="25"/>
      <c r="J304" s="25"/>
      <c r="K304" s="25"/>
      <c r="L304" s="24"/>
      <c r="M304" s="1"/>
    </row>
    <row r="305" ht="24.75" customHeight="1">
      <c r="A305" s="1"/>
      <c r="B305" s="22"/>
      <c r="C305" s="23"/>
      <c r="D305" s="23"/>
      <c r="E305" s="23"/>
      <c r="F305" s="24"/>
      <c r="G305" s="25"/>
      <c r="H305" s="25"/>
      <c r="I305" s="25"/>
      <c r="J305" s="25"/>
      <c r="K305" s="25"/>
      <c r="L305" s="24"/>
      <c r="M305" s="1"/>
    </row>
    <row r="306" ht="24.75" customHeight="1">
      <c r="A306" s="1"/>
      <c r="B306" s="22"/>
      <c r="C306" s="23"/>
      <c r="D306" s="23"/>
      <c r="E306" s="23"/>
      <c r="F306" s="24"/>
      <c r="G306" s="25"/>
      <c r="H306" s="25"/>
      <c r="I306" s="25"/>
      <c r="J306" s="25"/>
      <c r="K306" s="25"/>
      <c r="L306" s="24"/>
      <c r="M306" s="1"/>
    </row>
    <row r="307" ht="24.75" customHeight="1">
      <c r="A307" s="1"/>
      <c r="B307" s="22"/>
      <c r="C307" s="23"/>
      <c r="D307" s="23"/>
      <c r="E307" s="23"/>
      <c r="F307" s="24"/>
      <c r="G307" s="25"/>
      <c r="H307" s="25"/>
      <c r="I307" s="25"/>
      <c r="J307" s="25"/>
      <c r="K307" s="25"/>
      <c r="L307" s="24"/>
      <c r="M307" s="1"/>
    </row>
    <row r="308" ht="24.75" customHeight="1">
      <c r="A308" s="1"/>
      <c r="B308" s="22"/>
      <c r="C308" s="23"/>
      <c r="D308" s="23"/>
      <c r="E308" s="23"/>
      <c r="F308" s="24"/>
      <c r="G308" s="25"/>
      <c r="H308" s="25"/>
      <c r="I308" s="25"/>
      <c r="J308" s="25"/>
      <c r="K308" s="25"/>
      <c r="L308" s="24"/>
      <c r="M308" s="1"/>
    </row>
    <row r="309" ht="24.75" customHeight="1">
      <c r="A309" s="1"/>
      <c r="B309" s="22"/>
      <c r="C309" s="23"/>
      <c r="D309" s="23"/>
      <c r="E309" s="23"/>
      <c r="F309" s="24"/>
      <c r="G309" s="25"/>
      <c r="H309" s="25"/>
      <c r="I309" s="25"/>
      <c r="J309" s="25"/>
      <c r="K309" s="25"/>
      <c r="L309" s="24"/>
      <c r="M309" s="1"/>
    </row>
    <row r="310" ht="24.75" customHeight="1">
      <c r="A310" s="1"/>
      <c r="B310" s="22"/>
      <c r="C310" s="23"/>
      <c r="D310" s="23"/>
      <c r="E310" s="23"/>
      <c r="F310" s="24"/>
      <c r="G310" s="25"/>
      <c r="H310" s="25"/>
      <c r="I310" s="25"/>
      <c r="J310" s="25"/>
      <c r="K310" s="25"/>
      <c r="L310" s="24"/>
      <c r="M310" s="1"/>
    </row>
    <row r="311" ht="24.75" customHeight="1">
      <c r="A311" s="1"/>
      <c r="B311" s="22"/>
      <c r="C311" s="23"/>
      <c r="D311" s="23"/>
      <c r="E311" s="23"/>
      <c r="F311" s="24"/>
      <c r="G311" s="25"/>
      <c r="H311" s="25"/>
      <c r="I311" s="25"/>
      <c r="J311" s="25"/>
      <c r="K311" s="25"/>
      <c r="L311" s="24"/>
      <c r="M311" s="1"/>
    </row>
    <row r="312" ht="24.75" customHeight="1">
      <c r="A312" s="1"/>
      <c r="B312" s="22"/>
      <c r="C312" s="23"/>
      <c r="D312" s="23"/>
      <c r="E312" s="23"/>
      <c r="F312" s="24"/>
      <c r="G312" s="25"/>
      <c r="H312" s="25"/>
      <c r="I312" s="25"/>
      <c r="J312" s="25"/>
      <c r="K312" s="25"/>
      <c r="L312" s="24"/>
      <c r="M312" s="1"/>
    </row>
    <row r="313" ht="24.75" customHeight="1">
      <c r="A313" s="1"/>
      <c r="B313" s="22"/>
      <c r="C313" s="23"/>
      <c r="D313" s="23"/>
      <c r="E313" s="23"/>
      <c r="F313" s="24"/>
      <c r="G313" s="25"/>
      <c r="H313" s="25"/>
      <c r="I313" s="25"/>
      <c r="J313" s="25"/>
      <c r="K313" s="25"/>
      <c r="L313" s="24"/>
      <c r="M313" s="1"/>
    </row>
    <row r="314" ht="24.75" customHeight="1">
      <c r="A314" s="1"/>
      <c r="B314" s="22"/>
      <c r="C314" s="23"/>
      <c r="D314" s="23"/>
      <c r="E314" s="23"/>
      <c r="F314" s="24"/>
      <c r="G314" s="25"/>
      <c r="H314" s="25"/>
      <c r="I314" s="25"/>
      <c r="J314" s="25"/>
      <c r="K314" s="25"/>
      <c r="L314" s="24"/>
      <c r="M314" s="1"/>
    </row>
    <row r="315" ht="24.75" customHeight="1">
      <c r="A315" s="1"/>
      <c r="B315" s="22"/>
      <c r="C315" s="23"/>
      <c r="D315" s="23"/>
      <c r="E315" s="23"/>
      <c r="F315" s="24"/>
      <c r="G315" s="25"/>
      <c r="H315" s="25"/>
      <c r="I315" s="25"/>
      <c r="J315" s="25"/>
      <c r="K315" s="25"/>
      <c r="L315" s="24"/>
      <c r="M315" s="1"/>
    </row>
    <row r="316" ht="24.75" customHeight="1">
      <c r="A316" s="1"/>
      <c r="B316" s="22"/>
      <c r="C316" s="23"/>
      <c r="D316" s="23"/>
      <c r="E316" s="23"/>
      <c r="F316" s="24"/>
      <c r="G316" s="25"/>
      <c r="H316" s="25"/>
      <c r="I316" s="25"/>
      <c r="J316" s="25"/>
      <c r="K316" s="25"/>
      <c r="L316" s="24"/>
      <c r="M316" s="1"/>
    </row>
    <row r="317" ht="24.75" customHeight="1">
      <c r="A317" s="1"/>
      <c r="B317" s="22"/>
      <c r="C317" s="23"/>
      <c r="D317" s="23"/>
      <c r="E317" s="23"/>
      <c r="F317" s="24"/>
      <c r="G317" s="25"/>
      <c r="H317" s="25"/>
      <c r="I317" s="25"/>
      <c r="J317" s="25"/>
      <c r="K317" s="25"/>
      <c r="L317" s="24"/>
      <c r="M317" s="1"/>
    </row>
    <row r="318" ht="24.75" customHeight="1">
      <c r="A318" s="1"/>
      <c r="B318" s="22"/>
      <c r="C318" s="23"/>
      <c r="D318" s="23"/>
      <c r="E318" s="23"/>
      <c r="F318" s="24"/>
      <c r="G318" s="25"/>
      <c r="H318" s="25"/>
      <c r="I318" s="25"/>
      <c r="J318" s="25"/>
      <c r="K318" s="25"/>
      <c r="L318" s="24"/>
      <c r="M318" s="1"/>
    </row>
    <row r="319" ht="24.75" customHeight="1">
      <c r="A319" s="1"/>
      <c r="B319" s="22"/>
      <c r="C319" s="23"/>
      <c r="D319" s="23"/>
      <c r="E319" s="23"/>
      <c r="F319" s="24"/>
      <c r="G319" s="25"/>
      <c r="H319" s="25"/>
      <c r="I319" s="25"/>
      <c r="J319" s="25"/>
      <c r="K319" s="25"/>
      <c r="L319" s="24"/>
      <c r="M319" s="1"/>
    </row>
    <row r="320" ht="24.75" customHeight="1">
      <c r="A320" s="1"/>
      <c r="B320" s="22"/>
      <c r="C320" s="23"/>
      <c r="D320" s="23"/>
      <c r="E320" s="23"/>
      <c r="F320" s="24"/>
      <c r="G320" s="25"/>
      <c r="H320" s="25"/>
      <c r="I320" s="25"/>
      <c r="J320" s="25"/>
      <c r="K320" s="25"/>
      <c r="L320" s="24"/>
      <c r="M320" s="1"/>
    </row>
    <row r="321" ht="24.75" customHeight="1">
      <c r="A321" s="1"/>
      <c r="B321" s="22"/>
      <c r="C321" s="23"/>
      <c r="D321" s="23"/>
      <c r="E321" s="23"/>
      <c r="F321" s="24"/>
      <c r="G321" s="25"/>
      <c r="H321" s="25"/>
      <c r="I321" s="25"/>
      <c r="J321" s="25"/>
      <c r="K321" s="25"/>
      <c r="L321" s="24"/>
      <c r="M321" s="1"/>
    </row>
    <row r="322" ht="24.75" customHeight="1">
      <c r="A322" s="1"/>
      <c r="B322" s="22"/>
      <c r="C322" s="23"/>
      <c r="D322" s="23"/>
      <c r="E322" s="23"/>
      <c r="F322" s="24"/>
      <c r="G322" s="25"/>
      <c r="H322" s="25"/>
      <c r="I322" s="25"/>
      <c r="J322" s="25"/>
      <c r="K322" s="25"/>
      <c r="L322" s="24"/>
      <c r="M322" s="1"/>
    </row>
    <row r="323" ht="24.75" customHeight="1">
      <c r="A323" s="1"/>
      <c r="B323" s="22"/>
      <c r="C323" s="23"/>
      <c r="D323" s="23"/>
      <c r="E323" s="23"/>
      <c r="F323" s="24"/>
      <c r="G323" s="25"/>
      <c r="H323" s="25"/>
      <c r="I323" s="25"/>
      <c r="J323" s="25"/>
      <c r="K323" s="25"/>
      <c r="L323" s="24"/>
      <c r="M323" s="1"/>
    </row>
    <row r="324" ht="24.75" customHeight="1">
      <c r="A324" s="1"/>
      <c r="B324" s="22"/>
      <c r="C324" s="23"/>
      <c r="D324" s="23"/>
      <c r="E324" s="23"/>
      <c r="F324" s="24"/>
      <c r="G324" s="25"/>
      <c r="H324" s="25"/>
      <c r="I324" s="25"/>
      <c r="J324" s="25"/>
      <c r="K324" s="25"/>
      <c r="L324" s="24"/>
      <c r="M324" s="1"/>
    </row>
    <row r="325" ht="24.75" customHeight="1">
      <c r="A325" s="1"/>
      <c r="B325" s="22"/>
      <c r="C325" s="23"/>
      <c r="D325" s="23"/>
      <c r="E325" s="23"/>
      <c r="F325" s="24"/>
      <c r="G325" s="25"/>
      <c r="H325" s="25"/>
      <c r="I325" s="25"/>
      <c r="J325" s="25"/>
      <c r="K325" s="25"/>
      <c r="L325" s="24"/>
      <c r="M325" s="1"/>
    </row>
    <row r="326" ht="24.75" customHeight="1">
      <c r="A326" s="1"/>
      <c r="B326" s="22"/>
      <c r="C326" s="23"/>
      <c r="D326" s="23"/>
      <c r="E326" s="23"/>
      <c r="F326" s="24"/>
      <c r="G326" s="25"/>
      <c r="H326" s="25"/>
      <c r="I326" s="25"/>
      <c r="J326" s="25"/>
      <c r="K326" s="25"/>
      <c r="L326" s="24"/>
      <c r="M326" s="1"/>
    </row>
    <row r="327" ht="24.75" customHeight="1">
      <c r="A327" s="1"/>
      <c r="B327" s="22"/>
      <c r="C327" s="23"/>
      <c r="D327" s="23"/>
      <c r="E327" s="23"/>
      <c r="F327" s="24"/>
      <c r="G327" s="25"/>
      <c r="H327" s="25"/>
      <c r="I327" s="25"/>
      <c r="J327" s="25"/>
      <c r="K327" s="25"/>
      <c r="L327" s="24"/>
      <c r="M327" s="1"/>
    </row>
    <row r="328" ht="24.75" customHeight="1">
      <c r="A328" s="1"/>
      <c r="B328" s="22"/>
      <c r="C328" s="23"/>
      <c r="D328" s="23"/>
      <c r="E328" s="23"/>
      <c r="F328" s="24"/>
      <c r="G328" s="25"/>
      <c r="H328" s="25"/>
      <c r="I328" s="25"/>
      <c r="J328" s="25"/>
      <c r="K328" s="25"/>
      <c r="L328" s="24"/>
      <c r="M328" s="1"/>
    </row>
    <row r="329" ht="24.75" customHeight="1">
      <c r="A329" s="1"/>
      <c r="B329" s="22"/>
      <c r="C329" s="23"/>
      <c r="D329" s="23"/>
      <c r="E329" s="23"/>
      <c r="F329" s="24"/>
      <c r="G329" s="25"/>
      <c r="H329" s="25"/>
      <c r="I329" s="25"/>
      <c r="J329" s="25"/>
      <c r="K329" s="25"/>
      <c r="L329" s="24"/>
      <c r="M329" s="1"/>
    </row>
    <row r="330" ht="24.75" customHeight="1">
      <c r="A330" s="1"/>
      <c r="B330" s="22"/>
      <c r="C330" s="23"/>
      <c r="D330" s="23"/>
      <c r="E330" s="23"/>
      <c r="F330" s="24"/>
      <c r="G330" s="25"/>
      <c r="H330" s="25"/>
      <c r="I330" s="25"/>
      <c r="J330" s="25"/>
      <c r="K330" s="25"/>
      <c r="L330" s="24"/>
      <c r="M330" s="1"/>
    </row>
    <row r="331" ht="24.75" customHeight="1">
      <c r="A331" s="1"/>
      <c r="B331" s="22"/>
      <c r="C331" s="23"/>
      <c r="D331" s="23"/>
      <c r="E331" s="23"/>
      <c r="F331" s="24"/>
      <c r="G331" s="25"/>
      <c r="H331" s="25"/>
      <c r="I331" s="25"/>
      <c r="J331" s="25"/>
      <c r="K331" s="25"/>
      <c r="L331" s="24"/>
      <c r="M331" s="1"/>
    </row>
    <row r="332" ht="24.75" customHeight="1">
      <c r="A332" s="1"/>
      <c r="B332" s="22"/>
      <c r="C332" s="23"/>
      <c r="D332" s="23"/>
      <c r="E332" s="23"/>
      <c r="F332" s="24"/>
      <c r="G332" s="25"/>
      <c r="H332" s="25"/>
      <c r="I332" s="25"/>
      <c r="J332" s="25"/>
      <c r="K332" s="25"/>
      <c r="L332" s="24"/>
      <c r="M332" s="1"/>
    </row>
    <row r="333" ht="24.75" customHeight="1">
      <c r="A333" s="1"/>
      <c r="B333" s="22"/>
      <c r="C333" s="23"/>
      <c r="D333" s="23"/>
      <c r="E333" s="23"/>
      <c r="F333" s="24"/>
      <c r="G333" s="25"/>
      <c r="H333" s="25"/>
      <c r="I333" s="25"/>
      <c r="J333" s="25"/>
      <c r="K333" s="25"/>
      <c r="L333" s="24"/>
      <c r="M333" s="1"/>
    </row>
    <row r="334" ht="24.75" customHeight="1">
      <c r="A334" s="1"/>
      <c r="B334" s="22"/>
      <c r="C334" s="23"/>
      <c r="D334" s="23"/>
      <c r="E334" s="23"/>
      <c r="F334" s="24"/>
      <c r="G334" s="25"/>
      <c r="H334" s="25"/>
      <c r="I334" s="25"/>
      <c r="J334" s="25"/>
      <c r="K334" s="25"/>
      <c r="L334" s="24"/>
      <c r="M334" s="1"/>
    </row>
    <row r="335" ht="24.75" customHeight="1">
      <c r="A335" s="1"/>
      <c r="B335" s="22"/>
      <c r="C335" s="23"/>
      <c r="D335" s="23"/>
      <c r="E335" s="23"/>
      <c r="F335" s="24"/>
      <c r="G335" s="25"/>
      <c r="H335" s="25"/>
      <c r="I335" s="25"/>
      <c r="J335" s="25"/>
      <c r="K335" s="25"/>
      <c r="L335" s="24"/>
      <c r="M335" s="1"/>
    </row>
    <row r="336" ht="24.75" customHeight="1">
      <c r="A336" s="1"/>
      <c r="B336" s="22"/>
      <c r="C336" s="23"/>
      <c r="D336" s="23"/>
      <c r="E336" s="23"/>
      <c r="F336" s="24"/>
      <c r="G336" s="25"/>
      <c r="H336" s="25"/>
      <c r="I336" s="25"/>
      <c r="J336" s="25"/>
      <c r="K336" s="25"/>
      <c r="L336" s="24"/>
      <c r="M336" s="1"/>
    </row>
    <row r="337" ht="24.75" customHeight="1">
      <c r="A337" s="1"/>
      <c r="B337" s="22"/>
      <c r="C337" s="23"/>
      <c r="D337" s="23"/>
      <c r="E337" s="23"/>
      <c r="F337" s="24"/>
      <c r="G337" s="25"/>
      <c r="H337" s="25"/>
      <c r="I337" s="25"/>
      <c r="J337" s="25"/>
      <c r="K337" s="25"/>
      <c r="L337" s="24"/>
      <c r="M337" s="1"/>
    </row>
    <row r="338" ht="24.75" customHeight="1">
      <c r="A338" s="1"/>
      <c r="B338" s="22"/>
      <c r="C338" s="23"/>
      <c r="D338" s="23"/>
      <c r="E338" s="23"/>
      <c r="F338" s="24"/>
      <c r="G338" s="25"/>
      <c r="H338" s="25"/>
      <c r="I338" s="25"/>
      <c r="J338" s="25"/>
      <c r="K338" s="25"/>
      <c r="L338" s="24"/>
      <c r="M338" s="1"/>
    </row>
    <row r="339" ht="24.75" customHeight="1">
      <c r="A339" s="1"/>
      <c r="B339" s="22"/>
      <c r="C339" s="23"/>
      <c r="D339" s="23"/>
      <c r="E339" s="23"/>
      <c r="F339" s="24"/>
      <c r="G339" s="25"/>
      <c r="H339" s="25"/>
      <c r="I339" s="25"/>
      <c r="J339" s="25"/>
      <c r="K339" s="25"/>
      <c r="L339" s="24"/>
      <c r="M339" s="1"/>
    </row>
    <row r="340" ht="24.75" customHeight="1">
      <c r="A340" s="1"/>
      <c r="B340" s="22"/>
      <c r="C340" s="23"/>
      <c r="D340" s="23"/>
      <c r="E340" s="23"/>
      <c r="F340" s="24"/>
      <c r="G340" s="25"/>
      <c r="H340" s="25"/>
      <c r="I340" s="25"/>
      <c r="J340" s="25"/>
      <c r="K340" s="25"/>
      <c r="L340" s="24"/>
      <c r="M340" s="1"/>
    </row>
    <row r="341" ht="24.75" customHeight="1">
      <c r="A341" s="1"/>
      <c r="B341" s="22"/>
      <c r="C341" s="23"/>
      <c r="D341" s="23"/>
      <c r="E341" s="23"/>
      <c r="F341" s="24"/>
      <c r="G341" s="25"/>
      <c r="H341" s="25"/>
      <c r="I341" s="25"/>
      <c r="J341" s="25"/>
      <c r="K341" s="25"/>
      <c r="L341" s="24"/>
      <c r="M341" s="1"/>
    </row>
    <row r="342" ht="24.75" customHeight="1">
      <c r="A342" s="1"/>
      <c r="B342" s="22"/>
      <c r="C342" s="23"/>
      <c r="D342" s="23"/>
      <c r="E342" s="23"/>
      <c r="F342" s="24"/>
      <c r="G342" s="25"/>
      <c r="H342" s="25"/>
      <c r="I342" s="25"/>
      <c r="J342" s="25"/>
      <c r="K342" s="25"/>
      <c r="L342" s="24"/>
      <c r="M342" s="1"/>
    </row>
    <row r="343" ht="24.75" customHeight="1">
      <c r="A343" s="1"/>
      <c r="B343" s="22"/>
      <c r="C343" s="23"/>
      <c r="D343" s="23"/>
      <c r="E343" s="23"/>
      <c r="F343" s="24"/>
      <c r="G343" s="25"/>
      <c r="H343" s="25"/>
      <c r="I343" s="25"/>
      <c r="J343" s="25"/>
      <c r="K343" s="25"/>
      <c r="L343" s="24"/>
      <c r="M343" s="1"/>
    </row>
    <row r="344" ht="24.75" customHeight="1">
      <c r="A344" s="1"/>
      <c r="B344" s="22"/>
      <c r="C344" s="23"/>
      <c r="D344" s="23"/>
      <c r="E344" s="23"/>
      <c r="F344" s="24"/>
      <c r="G344" s="25"/>
      <c r="H344" s="25"/>
      <c r="I344" s="25"/>
      <c r="J344" s="25"/>
      <c r="K344" s="25"/>
      <c r="L344" s="24"/>
      <c r="M344" s="1"/>
    </row>
    <row r="345" ht="24.75" customHeight="1">
      <c r="A345" s="1"/>
      <c r="B345" s="22"/>
      <c r="C345" s="23"/>
      <c r="D345" s="23"/>
      <c r="E345" s="23"/>
      <c r="F345" s="24"/>
      <c r="G345" s="25"/>
      <c r="H345" s="25"/>
      <c r="I345" s="25"/>
      <c r="J345" s="25"/>
      <c r="K345" s="25"/>
      <c r="L345" s="24"/>
      <c r="M345" s="1"/>
    </row>
    <row r="346" ht="24.75" customHeight="1">
      <c r="A346" s="1"/>
      <c r="B346" s="22"/>
      <c r="C346" s="23"/>
      <c r="D346" s="23"/>
      <c r="E346" s="23"/>
      <c r="F346" s="24"/>
      <c r="G346" s="25"/>
      <c r="H346" s="25"/>
      <c r="I346" s="25"/>
      <c r="J346" s="25"/>
      <c r="K346" s="25"/>
      <c r="L346" s="24"/>
      <c r="M346" s="1"/>
    </row>
    <row r="347" ht="24.75" customHeight="1">
      <c r="A347" s="1"/>
      <c r="B347" s="22"/>
      <c r="C347" s="23"/>
      <c r="D347" s="23"/>
      <c r="E347" s="23"/>
      <c r="F347" s="24"/>
      <c r="G347" s="25"/>
      <c r="H347" s="25"/>
      <c r="I347" s="25"/>
      <c r="J347" s="25"/>
      <c r="K347" s="25"/>
      <c r="L347" s="24"/>
      <c r="M347" s="1"/>
    </row>
    <row r="348" ht="24.75" customHeight="1">
      <c r="A348" s="1"/>
      <c r="B348" s="22"/>
      <c r="C348" s="23"/>
      <c r="D348" s="23"/>
      <c r="E348" s="23"/>
      <c r="F348" s="24"/>
      <c r="G348" s="25"/>
      <c r="H348" s="25"/>
      <c r="I348" s="25"/>
      <c r="J348" s="25"/>
      <c r="K348" s="25"/>
      <c r="L348" s="24"/>
      <c r="M348" s="1"/>
    </row>
    <row r="349" ht="24.75" customHeight="1">
      <c r="A349" s="1"/>
      <c r="B349" s="22"/>
      <c r="C349" s="23"/>
      <c r="D349" s="23"/>
      <c r="E349" s="23"/>
      <c r="F349" s="24"/>
      <c r="G349" s="25"/>
      <c r="H349" s="25"/>
      <c r="I349" s="25"/>
      <c r="J349" s="25"/>
      <c r="K349" s="25"/>
      <c r="L349" s="24"/>
      <c r="M349" s="1"/>
    </row>
    <row r="350" ht="24.75" customHeight="1">
      <c r="A350" s="1"/>
      <c r="B350" s="22"/>
      <c r="C350" s="23"/>
      <c r="D350" s="23"/>
      <c r="E350" s="23"/>
      <c r="F350" s="24"/>
      <c r="G350" s="25"/>
      <c r="H350" s="25"/>
      <c r="I350" s="25"/>
      <c r="J350" s="25"/>
      <c r="K350" s="25"/>
      <c r="L350" s="24"/>
      <c r="M350" s="1"/>
    </row>
    <row r="351" ht="24.75" customHeight="1">
      <c r="A351" s="1"/>
      <c r="B351" s="22"/>
      <c r="C351" s="23"/>
      <c r="D351" s="23"/>
      <c r="E351" s="23"/>
      <c r="F351" s="24"/>
      <c r="G351" s="25"/>
      <c r="H351" s="25"/>
      <c r="I351" s="25"/>
      <c r="J351" s="25"/>
      <c r="K351" s="25"/>
      <c r="L351" s="24"/>
      <c r="M351" s="1"/>
    </row>
    <row r="352" ht="24.75" customHeight="1">
      <c r="A352" s="1"/>
      <c r="B352" s="22"/>
      <c r="C352" s="23"/>
      <c r="D352" s="23"/>
      <c r="E352" s="23"/>
      <c r="F352" s="24"/>
      <c r="G352" s="25"/>
      <c r="H352" s="25"/>
      <c r="I352" s="25"/>
      <c r="J352" s="25"/>
      <c r="K352" s="25"/>
      <c r="L352" s="24"/>
      <c r="M352" s="1"/>
    </row>
    <row r="353" ht="24.75" customHeight="1">
      <c r="A353" s="1"/>
      <c r="B353" s="22"/>
      <c r="C353" s="23"/>
      <c r="D353" s="23"/>
      <c r="E353" s="23"/>
      <c r="F353" s="24"/>
      <c r="G353" s="25"/>
      <c r="H353" s="25"/>
      <c r="I353" s="25"/>
      <c r="J353" s="25"/>
      <c r="K353" s="25"/>
      <c r="L353" s="24"/>
      <c r="M353" s="1"/>
    </row>
    <row r="354" ht="24.75" customHeight="1">
      <c r="A354" s="1"/>
      <c r="B354" s="22"/>
      <c r="C354" s="23"/>
      <c r="D354" s="23"/>
      <c r="E354" s="23"/>
      <c r="F354" s="24"/>
      <c r="G354" s="25"/>
      <c r="H354" s="25"/>
      <c r="I354" s="25"/>
      <c r="J354" s="25"/>
      <c r="K354" s="25"/>
      <c r="L354" s="24"/>
      <c r="M354" s="1"/>
    </row>
    <row r="355" ht="24.75" customHeight="1">
      <c r="A355" s="1"/>
      <c r="B355" s="22"/>
      <c r="C355" s="23"/>
      <c r="D355" s="23"/>
      <c r="E355" s="23"/>
      <c r="F355" s="24"/>
      <c r="G355" s="25"/>
      <c r="H355" s="25"/>
      <c r="I355" s="25"/>
      <c r="J355" s="25"/>
      <c r="K355" s="25"/>
      <c r="L355" s="24"/>
      <c r="M355" s="1"/>
    </row>
    <row r="356" ht="24.75" customHeight="1">
      <c r="A356" s="1"/>
      <c r="B356" s="22"/>
      <c r="C356" s="23"/>
      <c r="D356" s="23"/>
      <c r="E356" s="23"/>
      <c r="F356" s="24"/>
      <c r="G356" s="25"/>
      <c r="H356" s="25"/>
      <c r="I356" s="25"/>
      <c r="J356" s="25"/>
      <c r="K356" s="25"/>
      <c r="L356" s="24"/>
      <c r="M356" s="1"/>
    </row>
    <row r="357" ht="24.75" customHeight="1">
      <c r="A357" s="1"/>
      <c r="B357" s="22"/>
      <c r="C357" s="23"/>
      <c r="D357" s="23"/>
      <c r="E357" s="23"/>
      <c r="F357" s="24"/>
      <c r="G357" s="25"/>
      <c r="H357" s="25"/>
      <c r="I357" s="25"/>
      <c r="J357" s="25"/>
      <c r="K357" s="25"/>
      <c r="L357" s="24"/>
      <c r="M357" s="1"/>
    </row>
    <row r="358" ht="24.75" customHeight="1">
      <c r="A358" s="1"/>
      <c r="B358" s="22"/>
      <c r="C358" s="23"/>
      <c r="D358" s="23"/>
      <c r="E358" s="23"/>
      <c r="F358" s="24"/>
      <c r="G358" s="25"/>
      <c r="H358" s="25"/>
      <c r="I358" s="25"/>
      <c r="J358" s="25"/>
      <c r="K358" s="25"/>
      <c r="L358" s="24"/>
      <c r="M358" s="1"/>
    </row>
    <row r="359" ht="24.75" customHeight="1">
      <c r="A359" s="1"/>
      <c r="B359" s="22"/>
      <c r="C359" s="23"/>
      <c r="D359" s="23"/>
      <c r="E359" s="23"/>
      <c r="F359" s="24"/>
      <c r="G359" s="25"/>
      <c r="H359" s="25"/>
      <c r="I359" s="25"/>
      <c r="J359" s="25"/>
      <c r="K359" s="25"/>
      <c r="L359" s="24"/>
      <c r="M359" s="1"/>
    </row>
    <row r="360" ht="24.75" customHeight="1">
      <c r="A360" s="1"/>
      <c r="B360" s="22"/>
      <c r="C360" s="23"/>
      <c r="D360" s="23"/>
      <c r="E360" s="23"/>
      <c r="F360" s="24"/>
      <c r="G360" s="25"/>
      <c r="H360" s="25"/>
      <c r="I360" s="25"/>
      <c r="J360" s="25"/>
      <c r="K360" s="25"/>
      <c r="L360" s="24"/>
      <c r="M360" s="1"/>
    </row>
    <row r="361" ht="24.75" customHeight="1">
      <c r="A361" s="1"/>
      <c r="B361" s="22"/>
      <c r="C361" s="23"/>
      <c r="D361" s="23"/>
      <c r="E361" s="23"/>
      <c r="F361" s="24"/>
      <c r="G361" s="25"/>
      <c r="H361" s="25"/>
      <c r="I361" s="25"/>
      <c r="J361" s="25"/>
      <c r="K361" s="25"/>
      <c r="L361" s="24"/>
      <c r="M361" s="1"/>
    </row>
    <row r="362" ht="24.75" customHeight="1">
      <c r="A362" s="1"/>
      <c r="B362" s="22"/>
      <c r="C362" s="23"/>
      <c r="D362" s="23"/>
      <c r="E362" s="23"/>
      <c r="F362" s="24"/>
      <c r="G362" s="25"/>
      <c r="H362" s="25"/>
      <c r="I362" s="25"/>
      <c r="J362" s="25"/>
      <c r="K362" s="25"/>
      <c r="L362" s="24"/>
      <c r="M362" s="1"/>
    </row>
    <row r="363" ht="24.75" customHeight="1">
      <c r="A363" s="1"/>
      <c r="B363" s="22"/>
      <c r="C363" s="23"/>
      <c r="D363" s="23"/>
      <c r="E363" s="23"/>
      <c r="F363" s="24"/>
      <c r="G363" s="25"/>
      <c r="H363" s="25"/>
      <c r="I363" s="25"/>
      <c r="J363" s="25"/>
      <c r="K363" s="25"/>
      <c r="L363" s="24"/>
      <c r="M363" s="1"/>
    </row>
    <row r="364" ht="24.75" customHeight="1">
      <c r="A364" s="1"/>
      <c r="B364" s="22"/>
      <c r="C364" s="23"/>
      <c r="D364" s="23"/>
      <c r="E364" s="23"/>
      <c r="F364" s="24"/>
      <c r="G364" s="25"/>
      <c r="H364" s="25"/>
      <c r="I364" s="25"/>
      <c r="J364" s="25"/>
      <c r="K364" s="25"/>
      <c r="L364" s="24"/>
      <c r="M364" s="1"/>
    </row>
    <row r="365" ht="24.75" customHeight="1">
      <c r="A365" s="1"/>
      <c r="B365" s="22"/>
      <c r="C365" s="23"/>
      <c r="D365" s="23"/>
      <c r="E365" s="23"/>
      <c r="F365" s="24"/>
      <c r="G365" s="25"/>
      <c r="H365" s="25"/>
      <c r="I365" s="25"/>
      <c r="J365" s="25"/>
      <c r="K365" s="25"/>
      <c r="L365" s="24"/>
      <c r="M365" s="1"/>
    </row>
    <row r="366" ht="24.75" customHeight="1">
      <c r="A366" s="1"/>
      <c r="B366" s="22"/>
      <c r="C366" s="23"/>
      <c r="D366" s="23"/>
      <c r="E366" s="23"/>
      <c r="F366" s="24"/>
      <c r="G366" s="25"/>
      <c r="H366" s="25"/>
      <c r="I366" s="25"/>
      <c r="J366" s="25"/>
      <c r="K366" s="25"/>
      <c r="L366" s="24"/>
      <c r="M366" s="1"/>
    </row>
    <row r="367" ht="24.75" customHeight="1">
      <c r="A367" s="1"/>
      <c r="B367" s="22"/>
      <c r="C367" s="23"/>
      <c r="D367" s="23"/>
      <c r="E367" s="23"/>
      <c r="F367" s="24"/>
      <c r="G367" s="25"/>
      <c r="H367" s="25"/>
      <c r="I367" s="25"/>
      <c r="J367" s="25"/>
      <c r="K367" s="25"/>
      <c r="L367" s="24"/>
      <c r="M367" s="1"/>
    </row>
    <row r="368" ht="24.75" customHeight="1">
      <c r="A368" s="1"/>
      <c r="B368" s="22"/>
      <c r="C368" s="23"/>
      <c r="D368" s="23"/>
      <c r="E368" s="23"/>
      <c r="F368" s="24"/>
      <c r="G368" s="25"/>
      <c r="H368" s="25"/>
      <c r="I368" s="25"/>
      <c r="J368" s="25"/>
      <c r="K368" s="25"/>
      <c r="L368" s="24"/>
      <c r="M368" s="1"/>
    </row>
    <row r="369" ht="24.75" customHeight="1">
      <c r="A369" s="1"/>
      <c r="B369" s="22"/>
      <c r="C369" s="23"/>
      <c r="D369" s="23"/>
      <c r="E369" s="23"/>
      <c r="F369" s="24"/>
      <c r="G369" s="25"/>
      <c r="H369" s="25"/>
      <c r="I369" s="25"/>
      <c r="J369" s="25"/>
      <c r="K369" s="25"/>
      <c r="L369" s="24"/>
      <c r="M369" s="1"/>
    </row>
    <row r="370" ht="24.75" customHeight="1">
      <c r="A370" s="1"/>
      <c r="B370" s="22"/>
      <c r="C370" s="23"/>
      <c r="D370" s="23"/>
      <c r="E370" s="23"/>
      <c r="F370" s="24"/>
      <c r="G370" s="25"/>
      <c r="H370" s="25"/>
      <c r="I370" s="25"/>
      <c r="J370" s="25"/>
      <c r="K370" s="25"/>
      <c r="L370" s="24"/>
      <c r="M370" s="1"/>
    </row>
    <row r="371" ht="24.75" customHeight="1">
      <c r="A371" s="1"/>
      <c r="B371" s="22"/>
      <c r="C371" s="23"/>
      <c r="D371" s="23"/>
      <c r="E371" s="23"/>
      <c r="F371" s="24"/>
      <c r="G371" s="25"/>
      <c r="H371" s="25"/>
      <c r="I371" s="25"/>
      <c r="J371" s="25"/>
      <c r="K371" s="25"/>
      <c r="L371" s="24"/>
      <c r="M371" s="1"/>
    </row>
    <row r="372" ht="24.75" customHeight="1">
      <c r="A372" s="1"/>
      <c r="B372" s="22"/>
      <c r="C372" s="23"/>
      <c r="D372" s="23"/>
      <c r="E372" s="23"/>
      <c r="F372" s="24"/>
      <c r="G372" s="25"/>
      <c r="H372" s="25"/>
      <c r="I372" s="25"/>
      <c r="J372" s="25"/>
      <c r="K372" s="25"/>
      <c r="L372" s="24"/>
      <c r="M372" s="1"/>
    </row>
    <row r="373" ht="24.75" customHeight="1">
      <c r="A373" s="1"/>
      <c r="B373" s="22"/>
      <c r="C373" s="23"/>
      <c r="D373" s="23"/>
      <c r="E373" s="23"/>
      <c r="F373" s="24"/>
      <c r="G373" s="25"/>
      <c r="H373" s="25"/>
      <c r="I373" s="25"/>
      <c r="J373" s="25"/>
      <c r="K373" s="25"/>
      <c r="L373" s="24"/>
      <c r="M373" s="1"/>
    </row>
    <row r="374" ht="24.75" customHeight="1">
      <c r="A374" s="1"/>
      <c r="B374" s="22"/>
      <c r="C374" s="23"/>
      <c r="D374" s="23"/>
      <c r="E374" s="23"/>
      <c r="F374" s="24"/>
      <c r="G374" s="25"/>
      <c r="H374" s="25"/>
      <c r="I374" s="25"/>
      <c r="J374" s="25"/>
      <c r="K374" s="25"/>
      <c r="L374" s="24"/>
      <c r="M374" s="1"/>
    </row>
    <row r="375" ht="24.75" customHeight="1">
      <c r="A375" s="1"/>
      <c r="B375" s="22"/>
      <c r="C375" s="23"/>
      <c r="D375" s="23"/>
      <c r="E375" s="23"/>
      <c r="F375" s="24"/>
      <c r="G375" s="25"/>
      <c r="H375" s="25"/>
      <c r="I375" s="25"/>
      <c r="J375" s="25"/>
      <c r="K375" s="25"/>
      <c r="L375" s="24"/>
      <c r="M375" s="1"/>
    </row>
    <row r="376" ht="24.75" customHeight="1">
      <c r="A376" s="1"/>
      <c r="B376" s="22"/>
      <c r="C376" s="23"/>
      <c r="D376" s="23"/>
      <c r="E376" s="23"/>
      <c r="F376" s="24"/>
      <c r="G376" s="25"/>
      <c r="H376" s="25"/>
      <c r="I376" s="25"/>
      <c r="J376" s="25"/>
      <c r="K376" s="25"/>
      <c r="L376" s="24"/>
      <c r="M376" s="1"/>
    </row>
    <row r="377" ht="24.75" customHeight="1">
      <c r="A377" s="1"/>
      <c r="B377" s="22"/>
      <c r="C377" s="23"/>
      <c r="D377" s="23"/>
      <c r="E377" s="23"/>
      <c r="F377" s="24"/>
      <c r="G377" s="25"/>
      <c r="H377" s="25"/>
      <c r="I377" s="25"/>
      <c r="J377" s="25"/>
      <c r="K377" s="25"/>
      <c r="L377" s="24"/>
      <c r="M377" s="1"/>
    </row>
    <row r="378" ht="24.75" customHeight="1">
      <c r="A378" s="1"/>
      <c r="B378" s="22"/>
      <c r="C378" s="23"/>
      <c r="D378" s="23"/>
      <c r="E378" s="23"/>
      <c r="F378" s="24"/>
      <c r="G378" s="25"/>
      <c r="H378" s="25"/>
      <c r="I378" s="25"/>
      <c r="J378" s="25"/>
      <c r="K378" s="25"/>
      <c r="L378" s="24"/>
      <c r="M378" s="1"/>
    </row>
    <row r="379" ht="24.75" customHeight="1">
      <c r="A379" s="1"/>
      <c r="B379" s="22"/>
      <c r="C379" s="23"/>
      <c r="D379" s="23"/>
      <c r="E379" s="23"/>
      <c r="F379" s="24"/>
      <c r="G379" s="25"/>
      <c r="H379" s="25"/>
      <c r="I379" s="25"/>
      <c r="J379" s="25"/>
      <c r="K379" s="25"/>
      <c r="L379" s="24"/>
      <c r="M379" s="1"/>
    </row>
    <row r="380" ht="24.75" customHeight="1">
      <c r="A380" s="1"/>
      <c r="B380" s="22"/>
      <c r="C380" s="23"/>
      <c r="D380" s="23"/>
      <c r="E380" s="23"/>
      <c r="F380" s="24"/>
      <c r="G380" s="25"/>
      <c r="H380" s="25"/>
      <c r="I380" s="25"/>
      <c r="J380" s="25"/>
      <c r="K380" s="25"/>
      <c r="L380" s="24"/>
      <c r="M380" s="1"/>
    </row>
    <row r="381" ht="24.75" customHeight="1">
      <c r="A381" s="1"/>
      <c r="B381" s="22"/>
      <c r="C381" s="23"/>
      <c r="D381" s="23"/>
      <c r="E381" s="23"/>
      <c r="F381" s="24"/>
      <c r="G381" s="25"/>
      <c r="H381" s="25"/>
      <c r="I381" s="25"/>
      <c r="J381" s="25"/>
      <c r="K381" s="25"/>
      <c r="L381" s="24"/>
      <c r="M381" s="1"/>
    </row>
    <row r="382" ht="24.75" customHeight="1">
      <c r="A382" s="1"/>
      <c r="B382" s="22"/>
      <c r="C382" s="23"/>
      <c r="D382" s="23"/>
      <c r="E382" s="23"/>
      <c r="F382" s="24"/>
      <c r="G382" s="25"/>
      <c r="H382" s="25"/>
      <c r="I382" s="25"/>
      <c r="J382" s="25"/>
      <c r="K382" s="25"/>
      <c r="L382" s="24"/>
      <c r="M382" s="1"/>
    </row>
    <row r="383" ht="24.75" customHeight="1">
      <c r="A383" s="1"/>
      <c r="B383" s="22"/>
      <c r="C383" s="23"/>
      <c r="D383" s="23"/>
      <c r="E383" s="23"/>
      <c r="F383" s="24"/>
      <c r="G383" s="25"/>
      <c r="H383" s="25"/>
      <c r="I383" s="25"/>
      <c r="J383" s="25"/>
      <c r="K383" s="25"/>
      <c r="L383" s="24"/>
      <c r="M383" s="1"/>
    </row>
    <row r="384" ht="24.75" customHeight="1">
      <c r="A384" s="1"/>
      <c r="B384" s="22"/>
      <c r="C384" s="23"/>
      <c r="D384" s="23"/>
      <c r="E384" s="23"/>
      <c r="F384" s="24"/>
      <c r="G384" s="25"/>
      <c r="H384" s="25"/>
      <c r="I384" s="25"/>
      <c r="J384" s="25"/>
      <c r="K384" s="25"/>
      <c r="L384" s="24"/>
      <c r="M384" s="1"/>
    </row>
    <row r="385" ht="24.75" customHeight="1">
      <c r="A385" s="1"/>
      <c r="B385" s="22"/>
      <c r="C385" s="23"/>
      <c r="D385" s="23"/>
      <c r="E385" s="23"/>
      <c r="F385" s="24"/>
      <c r="G385" s="25"/>
      <c r="H385" s="25"/>
      <c r="I385" s="25"/>
      <c r="J385" s="25"/>
      <c r="K385" s="25"/>
      <c r="L385" s="24"/>
      <c r="M385" s="1"/>
    </row>
    <row r="386" ht="24.75" customHeight="1">
      <c r="A386" s="1"/>
      <c r="B386" s="22"/>
      <c r="C386" s="23"/>
      <c r="D386" s="23"/>
      <c r="E386" s="23"/>
      <c r="F386" s="24"/>
      <c r="G386" s="25"/>
      <c r="H386" s="25"/>
      <c r="I386" s="25"/>
      <c r="J386" s="25"/>
      <c r="K386" s="25"/>
      <c r="L386" s="24"/>
      <c r="M386" s="1"/>
    </row>
    <row r="387" ht="24.75" customHeight="1">
      <c r="A387" s="1"/>
      <c r="B387" s="22"/>
      <c r="C387" s="23"/>
      <c r="D387" s="23"/>
      <c r="E387" s="23"/>
      <c r="F387" s="24"/>
      <c r="G387" s="25"/>
      <c r="H387" s="25"/>
      <c r="I387" s="25"/>
      <c r="J387" s="25"/>
      <c r="K387" s="25"/>
      <c r="L387" s="24"/>
      <c r="M387" s="1"/>
    </row>
    <row r="388" ht="24.75" customHeight="1">
      <c r="A388" s="1"/>
      <c r="B388" s="22"/>
      <c r="C388" s="23"/>
      <c r="D388" s="23"/>
      <c r="E388" s="23"/>
      <c r="F388" s="24"/>
      <c r="G388" s="25"/>
      <c r="H388" s="25"/>
      <c r="I388" s="25"/>
      <c r="J388" s="25"/>
      <c r="K388" s="25"/>
      <c r="L388" s="24"/>
      <c r="M388" s="1"/>
    </row>
    <row r="389" ht="24.75" customHeight="1">
      <c r="A389" s="1"/>
      <c r="B389" s="22"/>
      <c r="C389" s="23"/>
      <c r="D389" s="23"/>
      <c r="E389" s="23"/>
      <c r="F389" s="24"/>
      <c r="G389" s="25"/>
      <c r="H389" s="25"/>
      <c r="I389" s="25"/>
      <c r="J389" s="25"/>
      <c r="K389" s="25"/>
      <c r="L389" s="24"/>
      <c r="M389" s="1"/>
    </row>
    <row r="390" ht="24.75" customHeight="1">
      <c r="A390" s="1"/>
      <c r="B390" s="22"/>
      <c r="C390" s="23"/>
      <c r="D390" s="23"/>
      <c r="E390" s="23"/>
      <c r="F390" s="24"/>
      <c r="G390" s="25"/>
      <c r="H390" s="25"/>
      <c r="I390" s="25"/>
      <c r="J390" s="25"/>
      <c r="K390" s="25"/>
      <c r="L390" s="24"/>
      <c r="M390" s="1"/>
    </row>
    <row r="391" ht="24.75" customHeight="1">
      <c r="A391" s="1"/>
      <c r="B391" s="22"/>
      <c r="C391" s="23"/>
      <c r="D391" s="23"/>
      <c r="E391" s="23"/>
      <c r="F391" s="24"/>
      <c r="G391" s="25"/>
      <c r="H391" s="25"/>
      <c r="I391" s="25"/>
      <c r="J391" s="25"/>
      <c r="K391" s="25"/>
      <c r="L391" s="24"/>
      <c r="M391" s="1"/>
    </row>
    <row r="392" ht="24.75" customHeight="1">
      <c r="A392" s="1"/>
      <c r="B392" s="22"/>
      <c r="C392" s="23"/>
      <c r="D392" s="23"/>
      <c r="E392" s="23"/>
      <c r="F392" s="24"/>
      <c r="G392" s="25"/>
      <c r="H392" s="25"/>
      <c r="I392" s="25"/>
      <c r="J392" s="25"/>
      <c r="K392" s="25"/>
      <c r="L392" s="24"/>
      <c r="M392" s="1"/>
    </row>
    <row r="393" ht="24.75" customHeight="1">
      <c r="A393" s="1"/>
      <c r="B393" s="22"/>
      <c r="C393" s="23"/>
      <c r="D393" s="23"/>
      <c r="E393" s="23"/>
      <c r="F393" s="24"/>
      <c r="G393" s="25"/>
      <c r="H393" s="25"/>
      <c r="I393" s="25"/>
      <c r="J393" s="25"/>
      <c r="K393" s="25"/>
      <c r="L393" s="24"/>
      <c r="M393" s="1"/>
    </row>
    <row r="394" ht="24.75" customHeight="1">
      <c r="A394" s="1"/>
      <c r="B394" s="22"/>
      <c r="C394" s="23"/>
      <c r="D394" s="23"/>
      <c r="E394" s="23"/>
      <c r="F394" s="24"/>
      <c r="G394" s="25"/>
      <c r="H394" s="25"/>
      <c r="I394" s="25"/>
      <c r="J394" s="25"/>
      <c r="K394" s="25"/>
      <c r="L394" s="24"/>
      <c r="M394" s="1"/>
    </row>
    <row r="395" ht="24.75" customHeight="1">
      <c r="A395" s="1"/>
      <c r="B395" s="22"/>
      <c r="C395" s="23"/>
      <c r="D395" s="23"/>
      <c r="E395" s="23"/>
      <c r="F395" s="24"/>
      <c r="G395" s="25"/>
      <c r="H395" s="25"/>
      <c r="I395" s="25"/>
      <c r="J395" s="25"/>
      <c r="K395" s="25"/>
      <c r="L395" s="24"/>
      <c r="M395" s="1"/>
    </row>
    <row r="396" ht="24.75" customHeight="1">
      <c r="A396" s="1"/>
      <c r="B396" s="22"/>
      <c r="C396" s="23"/>
      <c r="D396" s="23"/>
      <c r="E396" s="23"/>
      <c r="F396" s="24"/>
      <c r="G396" s="25"/>
      <c r="H396" s="25"/>
      <c r="I396" s="25"/>
      <c r="J396" s="25"/>
      <c r="K396" s="25"/>
      <c r="L396" s="24"/>
      <c r="M396" s="1"/>
    </row>
    <row r="397" ht="24.75" customHeight="1">
      <c r="A397" s="1"/>
      <c r="B397" s="22"/>
      <c r="C397" s="23"/>
      <c r="D397" s="23"/>
      <c r="E397" s="23"/>
      <c r="F397" s="24"/>
      <c r="G397" s="25"/>
      <c r="H397" s="25"/>
      <c r="I397" s="25"/>
      <c r="J397" s="25"/>
      <c r="K397" s="25"/>
      <c r="L397" s="24"/>
      <c r="M397" s="1"/>
    </row>
    <row r="398" ht="24.75" customHeight="1">
      <c r="A398" s="1"/>
      <c r="B398" s="22"/>
      <c r="C398" s="23"/>
      <c r="D398" s="23"/>
      <c r="E398" s="23"/>
      <c r="F398" s="24"/>
      <c r="G398" s="25"/>
      <c r="H398" s="25"/>
      <c r="I398" s="25"/>
      <c r="J398" s="25"/>
      <c r="K398" s="25"/>
      <c r="L398" s="24"/>
      <c r="M398" s="1"/>
    </row>
    <row r="399" ht="24.75" customHeight="1">
      <c r="A399" s="1"/>
      <c r="B399" s="22"/>
      <c r="C399" s="23"/>
      <c r="D399" s="23"/>
      <c r="E399" s="23"/>
      <c r="F399" s="24"/>
      <c r="G399" s="25"/>
      <c r="H399" s="25"/>
      <c r="I399" s="25"/>
      <c r="J399" s="25"/>
      <c r="K399" s="25"/>
      <c r="L399" s="24"/>
      <c r="M399" s="1"/>
    </row>
    <row r="400" ht="24.75" customHeight="1">
      <c r="A400" s="1"/>
      <c r="B400" s="22"/>
      <c r="C400" s="23"/>
      <c r="D400" s="23"/>
      <c r="E400" s="23"/>
      <c r="F400" s="24"/>
      <c r="G400" s="25"/>
      <c r="H400" s="25"/>
      <c r="I400" s="25"/>
      <c r="J400" s="25"/>
      <c r="K400" s="25"/>
      <c r="L400" s="24"/>
      <c r="M400" s="1"/>
    </row>
    <row r="401" ht="24.75" customHeight="1">
      <c r="A401" s="1"/>
      <c r="B401" s="22"/>
      <c r="C401" s="23"/>
      <c r="D401" s="23"/>
      <c r="E401" s="23"/>
      <c r="F401" s="24"/>
      <c r="G401" s="25"/>
      <c r="H401" s="25"/>
      <c r="I401" s="25"/>
      <c r="J401" s="25"/>
      <c r="K401" s="25"/>
      <c r="L401" s="24"/>
      <c r="M401" s="1"/>
    </row>
    <row r="402" ht="24.75" customHeight="1">
      <c r="A402" s="1"/>
      <c r="B402" s="22"/>
      <c r="C402" s="23"/>
      <c r="D402" s="23"/>
      <c r="E402" s="23"/>
      <c r="F402" s="24"/>
      <c r="G402" s="25"/>
      <c r="H402" s="25"/>
      <c r="I402" s="25"/>
      <c r="J402" s="25"/>
      <c r="K402" s="25"/>
      <c r="L402" s="24"/>
      <c r="M402" s="1"/>
    </row>
    <row r="403" ht="24.75" customHeight="1">
      <c r="A403" s="1"/>
      <c r="B403" s="22"/>
      <c r="C403" s="23"/>
      <c r="D403" s="23"/>
      <c r="E403" s="23"/>
      <c r="F403" s="24"/>
      <c r="G403" s="25"/>
      <c r="H403" s="25"/>
      <c r="I403" s="25"/>
      <c r="J403" s="25"/>
      <c r="K403" s="25"/>
      <c r="L403" s="24"/>
      <c r="M403" s="1"/>
    </row>
    <row r="404" ht="24.75" customHeight="1">
      <c r="A404" s="1"/>
      <c r="B404" s="22"/>
      <c r="C404" s="23"/>
      <c r="D404" s="23"/>
      <c r="E404" s="23"/>
      <c r="F404" s="24"/>
      <c r="G404" s="25"/>
      <c r="H404" s="25"/>
      <c r="I404" s="25"/>
      <c r="J404" s="25"/>
      <c r="K404" s="25"/>
      <c r="L404" s="24"/>
      <c r="M404" s="1"/>
    </row>
    <row r="405" ht="24.75" customHeight="1">
      <c r="A405" s="1"/>
      <c r="B405" s="22"/>
      <c r="C405" s="23"/>
      <c r="D405" s="23"/>
      <c r="E405" s="23"/>
      <c r="F405" s="24"/>
      <c r="G405" s="25"/>
      <c r="H405" s="25"/>
      <c r="I405" s="25"/>
      <c r="J405" s="25"/>
      <c r="K405" s="25"/>
      <c r="L405" s="24"/>
      <c r="M405" s="1"/>
    </row>
    <row r="406" ht="24.75" customHeight="1">
      <c r="A406" s="1"/>
      <c r="B406" s="22"/>
      <c r="C406" s="23"/>
      <c r="D406" s="23"/>
      <c r="E406" s="23"/>
      <c r="F406" s="24"/>
      <c r="G406" s="25"/>
      <c r="H406" s="25"/>
      <c r="I406" s="25"/>
      <c r="J406" s="25"/>
      <c r="K406" s="25"/>
      <c r="L406" s="24"/>
      <c r="M406" s="1"/>
    </row>
    <row r="407" ht="24.75" customHeight="1">
      <c r="A407" s="1"/>
      <c r="B407" s="22"/>
      <c r="C407" s="23"/>
      <c r="D407" s="23"/>
      <c r="E407" s="23"/>
      <c r="F407" s="24"/>
      <c r="G407" s="25"/>
      <c r="H407" s="25"/>
      <c r="I407" s="25"/>
      <c r="J407" s="25"/>
      <c r="K407" s="25"/>
      <c r="L407" s="24"/>
      <c r="M407" s="1"/>
    </row>
    <row r="408" ht="24.75" customHeight="1">
      <c r="A408" s="1"/>
      <c r="B408" s="22"/>
      <c r="C408" s="23"/>
      <c r="D408" s="23"/>
      <c r="E408" s="23"/>
      <c r="F408" s="24"/>
      <c r="G408" s="25"/>
      <c r="H408" s="25"/>
      <c r="I408" s="25"/>
      <c r="J408" s="25"/>
      <c r="K408" s="25"/>
      <c r="L408" s="24"/>
      <c r="M408" s="1"/>
    </row>
    <row r="409" ht="24.75" customHeight="1">
      <c r="A409" s="1"/>
      <c r="B409" s="22"/>
      <c r="C409" s="23"/>
      <c r="D409" s="23"/>
      <c r="E409" s="23"/>
      <c r="F409" s="24"/>
      <c r="G409" s="25"/>
      <c r="H409" s="25"/>
      <c r="I409" s="25"/>
      <c r="J409" s="25"/>
      <c r="K409" s="25"/>
      <c r="L409" s="24"/>
      <c r="M409" s="1"/>
    </row>
    <row r="410" ht="24.75" customHeight="1">
      <c r="A410" s="1"/>
      <c r="B410" s="22"/>
      <c r="C410" s="23"/>
      <c r="D410" s="23"/>
      <c r="E410" s="23"/>
      <c r="F410" s="24"/>
      <c r="G410" s="25"/>
      <c r="H410" s="25"/>
      <c r="I410" s="25"/>
      <c r="J410" s="25"/>
      <c r="K410" s="25"/>
      <c r="L410" s="24"/>
      <c r="M410" s="1"/>
    </row>
    <row r="411" ht="24.75" customHeight="1">
      <c r="A411" s="1"/>
      <c r="B411" s="22"/>
      <c r="C411" s="23"/>
      <c r="D411" s="23"/>
      <c r="E411" s="23"/>
      <c r="F411" s="24"/>
      <c r="G411" s="25"/>
      <c r="H411" s="25"/>
      <c r="I411" s="25"/>
      <c r="J411" s="25"/>
      <c r="K411" s="25"/>
      <c r="L411" s="24"/>
      <c r="M411" s="1"/>
    </row>
    <row r="412" ht="24.75" customHeight="1">
      <c r="A412" s="1"/>
      <c r="B412" s="22"/>
      <c r="C412" s="23"/>
      <c r="D412" s="23"/>
      <c r="E412" s="23"/>
      <c r="F412" s="24"/>
      <c r="G412" s="25"/>
      <c r="H412" s="25"/>
      <c r="I412" s="25"/>
      <c r="J412" s="25"/>
      <c r="K412" s="25"/>
      <c r="L412" s="24"/>
      <c r="M412" s="1"/>
    </row>
    <row r="413" ht="24.75" customHeight="1">
      <c r="A413" s="1"/>
      <c r="B413" s="22"/>
      <c r="C413" s="23"/>
      <c r="D413" s="23"/>
      <c r="E413" s="23"/>
      <c r="F413" s="24"/>
      <c r="G413" s="25"/>
      <c r="H413" s="25"/>
      <c r="I413" s="25"/>
      <c r="J413" s="25"/>
      <c r="K413" s="25"/>
      <c r="L413" s="24"/>
      <c r="M413" s="1"/>
    </row>
    <row r="414" ht="24.75" customHeight="1">
      <c r="A414" s="1"/>
      <c r="B414" s="22"/>
      <c r="C414" s="23"/>
      <c r="D414" s="23"/>
      <c r="E414" s="23"/>
      <c r="F414" s="24"/>
      <c r="G414" s="25"/>
      <c r="H414" s="25"/>
      <c r="I414" s="25"/>
      <c r="J414" s="25"/>
      <c r="K414" s="25"/>
      <c r="L414" s="24"/>
      <c r="M414" s="1"/>
    </row>
    <row r="415" ht="24.75" customHeight="1">
      <c r="A415" s="1"/>
      <c r="B415" s="22"/>
      <c r="C415" s="23"/>
      <c r="D415" s="23"/>
      <c r="E415" s="23"/>
      <c r="F415" s="24"/>
      <c r="G415" s="25"/>
      <c r="H415" s="25"/>
      <c r="I415" s="25"/>
      <c r="J415" s="25"/>
      <c r="K415" s="25"/>
      <c r="L415" s="24"/>
      <c r="M415" s="1"/>
    </row>
    <row r="416" ht="24.75" customHeight="1">
      <c r="A416" s="1"/>
      <c r="B416" s="22"/>
      <c r="C416" s="23"/>
      <c r="D416" s="23"/>
      <c r="E416" s="23"/>
      <c r="F416" s="24"/>
      <c r="G416" s="25"/>
      <c r="H416" s="25"/>
      <c r="I416" s="25"/>
      <c r="J416" s="25"/>
      <c r="K416" s="25"/>
      <c r="L416" s="24"/>
      <c r="M416" s="1"/>
    </row>
    <row r="417" ht="24.75" customHeight="1">
      <c r="A417" s="1"/>
      <c r="B417" s="22"/>
      <c r="C417" s="23"/>
      <c r="D417" s="23"/>
      <c r="E417" s="23"/>
      <c r="F417" s="24"/>
      <c r="G417" s="25"/>
      <c r="H417" s="25"/>
      <c r="I417" s="25"/>
      <c r="J417" s="25"/>
      <c r="K417" s="25"/>
      <c r="L417" s="24"/>
      <c r="M417" s="1"/>
    </row>
    <row r="418" ht="24.75" customHeight="1">
      <c r="A418" s="1"/>
      <c r="B418" s="22"/>
      <c r="C418" s="23"/>
      <c r="D418" s="23"/>
      <c r="E418" s="23"/>
      <c r="F418" s="24"/>
      <c r="G418" s="25"/>
      <c r="H418" s="25"/>
      <c r="I418" s="25"/>
      <c r="J418" s="25"/>
      <c r="K418" s="25"/>
      <c r="L418" s="24"/>
      <c r="M418" s="1"/>
    </row>
    <row r="419" ht="24.75" customHeight="1">
      <c r="A419" s="1"/>
      <c r="B419" s="22"/>
      <c r="C419" s="23"/>
      <c r="D419" s="23"/>
      <c r="E419" s="23"/>
      <c r="F419" s="24"/>
      <c r="G419" s="25"/>
      <c r="H419" s="25"/>
      <c r="I419" s="25"/>
      <c r="J419" s="25"/>
      <c r="K419" s="25"/>
      <c r="L419" s="24"/>
      <c r="M419" s="1"/>
    </row>
    <row r="420" ht="24.75" customHeight="1">
      <c r="A420" s="1"/>
      <c r="B420" s="22"/>
      <c r="C420" s="23"/>
      <c r="D420" s="23"/>
      <c r="E420" s="23"/>
      <c r="F420" s="24"/>
      <c r="G420" s="25"/>
      <c r="H420" s="25"/>
      <c r="I420" s="25"/>
      <c r="J420" s="25"/>
      <c r="K420" s="25"/>
      <c r="L420" s="24"/>
      <c r="M420" s="1"/>
    </row>
    <row r="421" ht="24.75" customHeight="1">
      <c r="A421" s="1"/>
      <c r="B421" s="22"/>
      <c r="C421" s="23"/>
      <c r="D421" s="23"/>
      <c r="E421" s="23"/>
      <c r="F421" s="24"/>
      <c r="G421" s="25"/>
      <c r="H421" s="25"/>
      <c r="I421" s="25"/>
      <c r="J421" s="25"/>
      <c r="K421" s="25"/>
      <c r="L421" s="24"/>
      <c r="M421" s="1"/>
    </row>
    <row r="422" ht="24.75" customHeight="1">
      <c r="A422" s="1"/>
      <c r="B422" s="22"/>
      <c r="C422" s="23"/>
      <c r="D422" s="23"/>
      <c r="E422" s="23"/>
      <c r="F422" s="24"/>
      <c r="G422" s="25"/>
      <c r="H422" s="25"/>
      <c r="I422" s="25"/>
      <c r="J422" s="25"/>
      <c r="K422" s="25"/>
      <c r="L422" s="24"/>
      <c r="M422" s="1"/>
    </row>
    <row r="423" ht="24.75" customHeight="1">
      <c r="A423" s="1"/>
      <c r="B423" s="22"/>
      <c r="C423" s="23"/>
      <c r="D423" s="23"/>
      <c r="E423" s="23"/>
      <c r="F423" s="24"/>
      <c r="G423" s="25"/>
      <c r="H423" s="25"/>
      <c r="I423" s="25"/>
      <c r="J423" s="25"/>
      <c r="K423" s="25"/>
      <c r="L423" s="24"/>
      <c r="M423" s="1"/>
    </row>
    <row r="424" ht="24.75" customHeight="1">
      <c r="A424" s="1"/>
      <c r="B424" s="22"/>
      <c r="C424" s="23"/>
      <c r="D424" s="23"/>
      <c r="E424" s="23"/>
      <c r="F424" s="24"/>
      <c r="G424" s="25"/>
      <c r="H424" s="25"/>
      <c r="I424" s="25"/>
      <c r="J424" s="25"/>
      <c r="K424" s="25"/>
      <c r="L424" s="24"/>
      <c r="M424" s="1"/>
    </row>
    <row r="425" ht="24.75" customHeight="1">
      <c r="A425" s="1"/>
      <c r="B425" s="22"/>
      <c r="C425" s="23"/>
      <c r="D425" s="23"/>
      <c r="E425" s="23"/>
      <c r="F425" s="24"/>
      <c r="G425" s="25"/>
      <c r="H425" s="25"/>
      <c r="I425" s="25"/>
      <c r="J425" s="25"/>
      <c r="K425" s="25"/>
      <c r="L425" s="24"/>
      <c r="M425" s="1"/>
    </row>
    <row r="426" ht="24.75" customHeight="1">
      <c r="A426" s="1"/>
      <c r="B426" s="22"/>
      <c r="C426" s="23"/>
      <c r="D426" s="23"/>
      <c r="E426" s="23"/>
      <c r="F426" s="24"/>
      <c r="G426" s="25"/>
      <c r="H426" s="25"/>
      <c r="I426" s="25"/>
      <c r="J426" s="25"/>
      <c r="K426" s="25"/>
      <c r="L426" s="24"/>
      <c r="M426" s="1"/>
    </row>
    <row r="427" ht="24.75" customHeight="1">
      <c r="A427" s="1"/>
      <c r="B427" s="22"/>
      <c r="C427" s="23"/>
      <c r="D427" s="23"/>
      <c r="E427" s="23"/>
      <c r="F427" s="24"/>
      <c r="G427" s="25"/>
      <c r="H427" s="25"/>
      <c r="I427" s="25"/>
      <c r="J427" s="25"/>
      <c r="K427" s="25"/>
      <c r="L427" s="24"/>
      <c r="M427" s="1"/>
    </row>
    <row r="428" ht="24.75" customHeight="1">
      <c r="A428" s="1"/>
      <c r="B428" s="22"/>
      <c r="C428" s="23"/>
      <c r="D428" s="23"/>
      <c r="E428" s="23"/>
      <c r="F428" s="24"/>
      <c r="G428" s="25"/>
      <c r="H428" s="25"/>
      <c r="I428" s="25"/>
      <c r="J428" s="25"/>
      <c r="K428" s="25"/>
      <c r="L428" s="24"/>
      <c r="M428" s="1"/>
    </row>
    <row r="429" ht="24.75" customHeight="1">
      <c r="A429" s="1"/>
      <c r="B429" s="22"/>
      <c r="C429" s="23"/>
      <c r="D429" s="23"/>
      <c r="E429" s="23"/>
      <c r="F429" s="24"/>
      <c r="G429" s="25"/>
      <c r="H429" s="25"/>
      <c r="I429" s="25"/>
      <c r="J429" s="25"/>
      <c r="K429" s="25"/>
      <c r="L429" s="24"/>
      <c r="M429" s="1"/>
    </row>
    <row r="430" ht="24.75" customHeight="1">
      <c r="A430" s="1"/>
      <c r="B430" s="22"/>
      <c r="C430" s="23"/>
      <c r="D430" s="23"/>
      <c r="E430" s="23"/>
      <c r="F430" s="24"/>
      <c r="G430" s="25"/>
      <c r="H430" s="25"/>
      <c r="I430" s="25"/>
      <c r="J430" s="25"/>
      <c r="K430" s="25"/>
      <c r="L430" s="24"/>
      <c r="M430" s="1"/>
    </row>
    <row r="431" ht="24.75" customHeight="1">
      <c r="A431" s="1"/>
      <c r="B431" s="22"/>
      <c r="C431" s="23"/>
      <c r="D431" s="23"/>
      <c r="E431" s="23"/>
      <c r="F431" s="24"/>
      <c r="G431" s="25"/>
      <c r="H431" s="25"/>
      <c r="I431" s="25"/>
      <c r="J431" s="25"/>
      <c r="K431" s="25"/>
      <c r="L431" s="24"/>
      <c r="M431" s="1"/>
    </row>
    <row r="432" ht="24.75" customHeight="1">
      <c r="A432" s="1"/>
      <c r="B432" s="22"/>
      <c r="C432" s="23"/>
      <c r="D432" s="23"/>
      <c r="E432" s="23"/>
      <c r="F432" s="24"/>
      <c r="G432" s="25"/>
      <c r="H432" s="25"/>
      <c r="I432" s="25"/>
      <c r="J432" s="25"/>
      <c r="K432" s="25"/>
      <c r="L432" s="24"/>
      <c r="M432" s="1"/>
    </row>
    <row r="433" ht="24.75" customHeight="1">
      <c r="A433" s="1"/>
      <c r="B433" s="22"/>
      <c r="C433" s="23"/>
      <c r="D433" s="23"/>
      <c r="E433" s="23"/>
      <c r="F433" s="24"/>
      <c r="G433" s="25"/>
      <c r="H433" s="25"/>
      <c r="I433" s="25"/>
      <c r="J433" s="25"/>
      <c r="K433" s="25"/>
      <c r="L433" s="24"/>
      <c r="M433" s="1"/>
    </row>
    <row r="434" ht="24.75" customHeight="1">
      <c r="A434" s="1"/>
      <c r="B434" s="22"/>
      <c r="C434" s="23"/>
      <c r="D434" s="23"/>
      <c r="E434" s="23"/>
      <c r="F434" s="24"/>
      <c r="G434" s="25"/>
      <c r="H434" s="25"/>
      <c r="I434" s="25"/>
      <c r="J434" s="25"/>
      <c r="K434" s="25"/>
      <c r="L434" s="24"/>
      <c r="M434" s="1"/>
    </row>
    <row r="435" ht="24.75" customHeight="1">
      <c r="A435" s="1"/>
      <c r="B435" s="22"/>
      <c r="C435" s="23"/>
      <c r="D435" s="23"/>
      <c r="E435" s="23"/>
      <c r="F435" s="24"/>
      <c r="G435" s="25"/>
      <c r="H435" s="25"/>
      <c r="I435" s="25"/>
      <c r="J435" s="25"/>
      <c r="K435" s="25"/>
      <c r="L435" s="24"/>
      <c r="M435" s="1"/>
    </row>
    <row r="436" ht="24.75" customHeight="1">
      <c r="A436" s="1"/>
      <c r="B436" s="22"/>
      <c r="C436" s="23"/>
      <c r="D436" s="23"/>
      <c r="E436" s="23"/>
      <c r="F436" s="24"/>
      <c r="G436" s="25"/>
      <c r="H436" s="25"/>
      <c r="I436" s="25"/>
      <c r="J436" s="25"/>
      <c r="K436" s="25"/>
      <c r="L436" s="24"/>
      <c r="M436" s="1"/>
    </row>
    <row r="437" ht="24.75" customHeight="1">
      <c r="A437" s="1"/>
      <c r="B437" s="22"/>
      <c r="C437" s="23"/>
      <c r="D437" s="23"/>
      <c r="E437" s="23"/>
      <c r="F437" s="24"/>
      <c r="G437" s="25"/>
      <c r="H437" s="25"/>
      <c r="I437" s="25"/>
      <c r="J437" s="25"/>
      <c r="K437" s="25"/>
      <c r="L437" s="24"/>
      <c r="M437" s="1"/>
    </row>
    <row r="438" ht="24.75" customHeight="1">
      <c r="A438" s="1"/>
      <c r="B438" s="22"/>
      <c r="C438" s="23"/>
      <c r="D438" s="23"/>
      <c r="E438" s="23"/>
      <c r="F438" s="24"/>
      <c r="G438" s="25"/>
      <c r="H438" s="25"/>
      <c r="I438" s="25"/>
      <c r="J438" s="25"/>
      <c r="K438" s="25"/>
      <c r="L438" s="24"/>
      <c r="M438" s="1"/>
    </row>
    <row r="439" ht="24.75" customHeight="1">
      <c r="A439" s="1"/>
      <c r="B439" s="22"/>
      <c r="C439" s="23"/>
      <c r="D439" s="23"/>
      <c r="E439" s="23"/>
      <c r="F439" s="24"/>
      <c r="G439" s="25"/>
      <c r="H439" s="25"/>
      <c r="I439" s="25"/>
      <c r="J439" s="25"/>
      <c r="K439" s="25"/>
      <c r="L439" s="24"/>
      <c r="M439" s="1"/>
    </row>
    <row r="440" ht="24.75" customHeight="1">
      <c r="A440" s="1"/>
      <c r="B440" s="22"/>
      <c r="C440" s="23"/>
      <c r="D440" s="23"/>
      <c r="E440" s="23"/>
      <c r="F440" s="24"/>
      <c r="G440" s="25"/>
      <c r="H440" s="25"/>
      <c r="I440" s="25"/>
      <c r="J440" s="25"/>
      <c r="K440" s="25"/>
      <c r="L440" s="24"/>
      <c r="M440" s="1"/>
    </row>
    <row r="441" ht="24.75" customHeight="1">
      <c r="A441" s="1"/>
      <c r="B441" s="22"/>
      <c r="C441" s="23"/>
      <c r="D441" s="23"/>
      <c r="E441" s="23"/>
      <c r="F441" s="24"/>
      <c r="G441" s="25"/>
      <c r="H441" s="25"/>
      <c r="I441" s="25"/>
      <c r="J441" s="25"/>
      <c r="K441" s="25"/>
      <c r="L441" s="24"/>
      <c r="M441" s="1"/>
    </row>
    <row r="442" ht="24.75" customHeight="1">
      <c r="A442" s="1"/>
      <c r="B442" s="22"/>
      <c r="C442" s="23"/>
      <c r="D442" s="23"/>
      <c r="E442" s="23"/>
      <c r="F442" s="24"/>
      <c r="G442" s="25"/>
      <c r="H442" s="25"/>
      <c r="I442" s="25"/>
      <c r="J442" s="25"/>
      <c r="K442" s="25"/>
      <c r="L442" s="24"/>
      <c r="M442" s="1"/>
    </row>
    <row r="443" ht="24.75" customHeight="1">
      <c r="A443" s="1"/>
      <c r="B443" s="22"/>
      <c r="C443" s="23"/>
      <c r="D443" s="23"/>
      <c r="E443" s="23"/>
      <c r="F443" s="24"/>
      <c r="G443" s="25"/>
      <c r="H443" s="25"/>
      <c r="I443" s="25"/>
      <c r="J443" s="25"/>
      <c r="K443" s="25"/>
      <c r="L443" s="24"/>
      <c r="M443" s="1"/>
    </row>
    <row r="444" ht="24.75" customHeight="1">
      <c r="A444" s="1"/>
      <c r="B444" s="22"/>
      <c r="C444" s="23"/>
      <c r="D444" s="23"/>
      <c r="E444" s="23"/>
      <c r="F444" s="24"/>
      <c r="G444" s="25"/>
      <c r="H444" s="25"/>
      <c r="I444" s="25"/>
      <c r="J444" s="25"/>
      <c r="K444" s="25"/>
      <c r="L444" s="24"/>
      <c r="M444" s="1"/>
    </row>
    <row r="445" ht="24.75" customHeight="1">
      <c r="A445" s="1"/>
      <c r="B445" s="22"/>
      <c r="C445" s="23"/>
      <c r="D445" s="23"/>
      <c r="E445" s="23"/>
      <c r="F445" s="24"/>
      <c r="G445" s="25"/>
      <c r="H445" s="25"/>
      <c r="I445" s="25"/>
      <c r="J445" s="25"/>
      <c r="K445" s="25"/>
      <c r="L445" s="24"/>
      <c r="M445" s="1"/>
    </row>
    <row r="446" ht="24.75" customHeight="1">
      <c r="A446" s="1"/>
      <c r="B446" s="22"/>
      <c r="C446" s="23"/>
      <c r="D446" s="23"/>
      <c r="E446" s="23"/>
      <c r="F446" s="24"/>
      <c r="G446" s="25"/>
      <c r="H446" s="25"/>
      <c r="I446" s="25"/>
      <c r="J446" s="25"/>
      <c r="K446" s="25"/>
      <c r="L446" s="24"/>
      <c r="M446" s="1"/>
    </row>
    <row r="447" ht="24.75" customHeight="1">
      <c r="A447" s="1"/>
      <c r="B447" s="22"/>
      <c r="C447" s="23"/>
      <c r="D447" s="23"/>
      <c r="E447" s="23"/>
      <c r="F447" s="24"/>
      <c r="G447" s="25"/>
      <c r="H447" s="25"/>
      <c r="I447" s="25"/>
      <c r="J447" s="25"/>
      <c r="K447" s="25"/>
      <c r="L447" s="24"/>
      <c r="M447" s="1"/>
    </row>
    <row r="448" ht="24.75" customHeight="1">
      <c r="A448" s="1"/>
      <c r="B448" s="22"/>
      <c r="C448" s="23"/>
      <c r="D448" s="23"/>
      <c r="E448" s="23"/>
      <c r="F448" s="24"/>
      <c r="G448" s="25"/>
      <c r="H448" s="25"/>
      <c r="I448" s="25"/>
      <c r="J448" s="25"/>
      <c r="K448" s="25"/>
      <c r="L448" s="24"/>
      <c r="M448" s="1"/>
    </row>
    <row r="449" ht="24.75" customHeight="1">
      <c r="A449" s="1"/>
      <c r="B449" s="22"/>
      <c r="C449" s="23"/>
      <c r="D449" s="23"/>
      <c r="E449" s="23"/>
      <c r="F449" s="24"/>
      <c r="G449" s="25"/>
      <c r="H449" s="25"/>
      <c r="I449" s="25"/>
      <c r="J449" s="25"/>
      <c r="K449" s="25"/>
      <c r="L449" s="24"/>
      <c r="M449" s="1"/>
    </row>
    <row r="450" ht="24.75" customHeight="1">
      <c r="A450" s="1"/>
      <c r="B450" s="22"/>
      <c r="C450" s="23"/>
      <c r="D450" s="23"/>
      <c r="E450" s="23"/>
      <c r="F450" s="24"/>
      <c r="G450" s="25"/>
      <c r="H450" s="25"/>
      <c r="I450" s="25"/>
      <c r="J450" s="25"/>
      <c r="K450" s="25"/>
      <c r="L450" s="24"/>
      <c r="M450" s="1"/>
    </row>
    <row r="451" ht="24.75" customHeight="1">
      <c r="A451" s="1"/>
      <c r="B451" s="22"/>
      <c r="C451" s="23"/>
      <c r="D451" s="23"/>
      <c r="E451" s="23"/>
      <c r="F451" s="24"/>
      <c r="G451" s="25"/>
      <c r="H451" s="25"/>
      <c r="I451" s="25"/>
      <c r="J451" s="25"/>
      <c r="K451" s="25"/>
      <c r="L451" s="24"/>
      <c r="M451" s="1"/>
    </row>
    <row r="452" ht="24.75" customHeight="1">
      <c r="A452" s="1"/>
      <c r="B452" s="22"/>
      <c r="C452" s="23"/>
      <c r="D452" s="23"/>
      <c r="E452" s="23"/>
      <c r="F452" s="24"/>
      <c r="G452" s="25"/>
      <c r="H452" s="25"/>
      <c r="I452" s="25"/>
      <c r="J452" s="25"/>
      <c r="K452" s="25"/>
      <c r="L452" s="24"/>
      <c r="M452" s="1"/>
    </row>
    <row r="453" ht="24.75" customHeight="1">
      <c r="A453" s="1"/>
      <c r="B453" s="22"/>
      <c r="C453" s="23"/>
      <c r="D453" s="23"/>
      <c r="E453" s="23"/>
      <c r="F453" s="24"/>
      <c r="G453" s="25"/>
      <c r="H453" s="25"/>
      <c r="I453" s="25"/>
      <c r="J453" s="25"/>
      <c r="K453" s="25"/>
      <c r="L453" s="24"/>
      <c r="M453" s="1"/>
    </row>
    <row r="454" ht="24.75" customHeight="1">
      <c r="A454" s="1"/>
      <c r="B454" s="22"/>
      <c r="C454" s="23"/>
      <c r="D454" s="23"/>
      <c r="E454" s="23"/>
      <c r="F454" s="24"/>
      <c r="G454" s="25"/>
      <c r="H454" s="25"/>
      <c r="I454" s="25"/>
      <c r="J454" s="25"/>
      <c r="K454" s="25"/>
      <c r="L454" s="24"/>
      <c r="M454" s="1"/>
    </row>
    <row r="455" ht="24.75" customHeight="1">
      <c r="A455" s="1"/>
      <c r="B455" s="22"/>
      <c r="C455" s="23"/>
      <c r="D455" s="23"/>
      <c r="E455" s="23"/>
      <c r="F455" s="24"/>
      <c r="G455" s="25"/>
      <c r="H455" s="25"/>
      <c r="I455" s="25"/>
      <c r="J455" s="25"/>
      <c r="K455" s="25"/>
      <c r="L455" s="24"/>
      <c r="M455" s="1"/>
    </row>
    <row r="456" ht="24.75" customHeight="1">
      <c r="A456" s="1"/>
      <c r="B456" s="22"/>
      <c r="C456" s="23"/>
      <c r="D456" s="23"/>
      <c r="E456" s="23"/>
      <c r="F456" s="24"/>
      <c r="G456" s="25"/>
      <c r="H456" s="25"/>
      <c r="I456" s="25"/>
      <c r="J456" s="25"/>
      <c r="K456" s="25"/>
      <c r="L456" s="24"/>
      <c r="M456" s="1"/>
    </row>
    <row r="457" ht="24.75" customHeight="1">
      <c r="A457" s="1"/>
      <c r="B457" s="22"/>
      <c r="C457" s="23"/>
      <c r="D457" s="23"/>
      <c r="E457" s="23"/>
      <c r="F457" s="24"/>
      <c r="G457" s="25"/>
      <c r="H457" s="25"/>
      <c r="I457" s="25"/>
      <c r="J457" s="25"/>
      <c r="K457" s="25"/>
      <c r="L457" s="24"/>
      <c r="M457" s="1"/>
    </row>
    <row r="458" ht="24.75" customHeight="1">
      <c r="A458" s="1"/>
      <c r="B458" s="22"/>
      <c r="C458" s="23"/>
      <c r="D458" s="23"/>
      <c r="E458" s="23"/>
      <c r="F458" s="24"/>
      <c r="G458" s="25"/>
      <c r="H458" s="25"/>
      <c r="I458" s="25"/>
      <c r="J458" s="25"/>
      <c r="K458" s="25"/>
      <c r="L458" s="24"/>
      <c r="M458" s="1"/>
    </row>
    <row r="459" ht="24.75" customHeight="1">
      <c r="A459" s="1"/>
      <c r="B459" s="22"/>
      <c r="C459" s="23"/>
      <c r="D459" s="23"/>
      <c r="E459" s="23"/>
      <c r="F459" s="24"/>
      <c r="G459" s="25"/>
      <c r="H459" s="25"/>
      <c r="I459" s="25"/>
      <c r="J459" s="25"/>
      <c r="K459" s="25"/>
      <c r="L459" s="24"/>
      <c r="M459" s="1"/>
    </row>
    <row r="460" ht="24.75" customHeight="1">
      <c r="A460" s="1"/>
      <c r="B460" s="22"/>
      <c r="C460" s="23"/>
      <c r="D460" s="23"/>
      <c r="E460" s="23"/>
      <c r="F460" s="24"/>
      <c r="G460" s="25"/>
      <c r="H460" s="25"/>
      <c r="I460" s="25"/>
      <c r="J460" s="25"/>
      <c r="K460" s="25"/>
      <c r="L460" s="24"/>
      <c r="M460" s="1"/>
    </row>
    <row r="461" ht="24.75" customHeight="1">
      <c r="A461" s="1"/>
      <c r="B461" s="22"/>
      <c r="C461" s="23"/>
      <c r="D461" s="23"/>
      <c r="E461" s="23"/>
      <c r="F461" s="24"/>
      <c r="G461" s="25"/>
      <c r="H461" s="25"/>
      <c r="I461" s="25"/>
      <c r="J461" s="25"/>
      <c r="K461" s="25"/>
      <c r="L461" s="24"/>
      <c r="M461" s="1"/>
    </row>
    <row r="462" ht="24.75" customHeight="1">
      <c r="A462" s="1"/>
      <c r="B462" s="22"/>
      <c r="C462" s="23"/>
      <c r="D462" s="23"/>
      <c r="E462" s="23"/>
      <c r="F462" s="24"/>
      <c r="G462" s="25"/>
      <c r="H462" s="25"/>
      <c r="I462" s="25"/>
      <c r="J462" s="25"/>
      <c r="K462" s="25"/>
      <c r="L462" s="24"/>
      <c r="M462" s="1"/>
    </row>
    <row r="463" ht="24.75" customHeight="1">
      <c r="A463" s="1"/>
      <c r="B463" s="22"/>
      <c r="C463" s="23"/>
      <c r="D463" s="23"/>
      <c r="E463" s="23"/>
      <c r="F463" s="24"/>
      <c r="G463" s="25"/>
      <c r="H463" s="25"/>
      <c r="I463" s="25"/>
      <c r="J463" s="25"/>
      <c r="K463" s="25"/>
      <c r="L463" s="24"/>
      <c r="M463" s="1"/>
    </row>
    <row r="464" ht="24.75" customHeight="1">
      <c r="A464" s="1"/>
      <c r="B464" s="22"/>
      <c r="C464" s="23"/>
      <c r="D464" s="23"/>
      <c r="E464" s="23"/>
      <c r="F464" s="24"/>
      <c r="G464" s="25"/>
      <c r="H464" s="25"/>
      <c r="I464" s="25"/>
      <c r="J464" s="25"/>
      <c r="K464" s="25"/>
      <c r="L464" s="24"/>
      <c r="M464" s="1"/>
    </row>
    <row r="465" ht="24.75" customHeight="1">
      <c r="A465" s="1"/>
      <c r="B465" s="22"/>
      <c r="C465" s="23"/>
      <c r="D465" s="23"/>
      <c r="E465" s="23"/>
      <c r="F465" s="24"/>
      <c r="G465" s="25"/>
      <c r="H465" s="25"/>
      <c r="I465" s="25"/>
      <c r="J465" s="25"/>
      <c r="K465" s="25"/>
      <c r="L465" s="24"/>
      <c r="M465" s="1"/>
    </row>
    <row r="466" ht="24.75" customHeight="1">
      <c r="A466" s="1"/>
      <c r="B466" s="22"/>
      <c r="C466" s="23"/>
      <c r="D466" s="23"/>
      <c r="E466" s="23"/>
      <c r="F466" s="24"/>
      <c r="G466" s="25"/>
      <c r="H466" s="25"/>
      <c r="I466" s="25"/>
      <c r="J466" s="25"/>
      <c r="K466" s="25"/>
      <c r="L466" s="24"/>
      <c r="M466" s="1"/>
    </row>
    <row r="467" ht="24.75" customHeight="1">
      <c r="A467" s="1"/>
      <c r="B467" s="22"/>
      <c r="C467" s="23"/>
      <c r="D467" s="23"/>
      <c r="E467" s="23"/>
      <c r="F467" s="24"/>
      <c r="G467" s="25"/>
      <c r="H467" s="25"/>
      <c r="I467" s="25"/>
      <c r="J467" s="25"/>
      <c r="K467" s="25"/>
      <c r="L467" s="24"/>
      <c r="M467" s="1"/>
    </row>
    <row r="468" ht="24.75" customHeight="1">
      <c r="A468" s="1"/>
      <c r="B468" s="22"/>
      <c r="C468" s="23"/>
      <c r="D468" s="23"/>
      <c r="E468" s="23"/>
      <c r="F468" s="24"/>
      <c r="G468" s="25"/>
      <c r="H468" s="25"/>
      <c r="I468" s="25"/>
      <c r="J468" s="25"/>
      <c r="K468" s="25"/>
      <c r="L468" s="24"/>
      <c r="M468" s="1"/>
    </row>
    <row r="469" ht="24.75" customHeight="1">
      <c r="A469" s="1"/>
      <c r="B469" s="22"/>
      <c r="C469" s="23"/>
      <c r="D469" s="23"/>
      <c r="E469" s="23"/>
      <c r="F469" s="24"/>
      <c r="G469" s="25"/>
      <c r="H469" s="25"/>
      <c r="I469" s="25"/>
      <c r="J469" s="25"/>
      <c r="K469" s="25"/>
      <c r="L469" s="24"/>
      <c r="M469" s="1"/>
    </row>
    <row r="470" ht="24.75" customHeight="1">
      <c r="A470" s="1"/>
      <c r="B470" s="22"/>
      <c r="C470" s="23"/>
      <c r="D470" s="23"/>
      <c r="E470" s="23"/>
      <c r="F470" s="24"/>
      <c r="G470" s="25"/>
      <c r="H470" s="25"/>
      <c r="I470" s="25"/>
      <c r="J470" s="25"/>
      <c r="K470" s="25"/>
      <c r="L470" s="24"/>
      <c r="M470" s="1"/>
    </row>
    <row r="471" ht="24.75" customHeight="1">
      <c r="A471" s="1"/>
      <c r="B471" s="22"/>
      <c r="C471" s="23"/>
      <c r="D471" s="23"/>
      <c r="E471" s="23"/>
      <c r="F471" s="24"/>
      <c r="G471" s="25"/>
      <c r="H471" s="25"/>
      <c r="I471" s="25"/>
      <c r="J471" s="25"/>
      <c r="K471" s="25"/>
      <c r="L471" s="24"/>
      <c r="M471" s="1"/>
    </row>
    <row r="472" ht="24.75" customHeight="1">
      <c r="A472" s="1"/>
      <c r="B472" s="22"/>
      <c r="C472" s="23"/>
      <c r="D472" s="23"/>
      <c r="E472" s="23"/>
      <c r="F472" s="24"/>
      <c r="G472" s="25"/>
      <c r="H472" s="25"/>
      <c r="I472" s="25"/>
      <c r="J472" s="25"/>
      <c r="K472" s="25"/>
      <c r="L472" s="24"/>
      <c r="M472" s="1"/>
    </row>
    <row r="473" ht="24.75" customHeight="1">
      <c r="A473" s="1"/>
      <c r="B473" s="22"/>
      <c r="C473" s="23"/>
      <c r="D473" s="23"/>
      <c r="E473" s="23"/>
      <c r="F473" s="24"/>
      <c r="G473" s="25"/>
      <c r="H473" s="25"/>
      <c r="I473" s="25"/>
      <c r="J473" s="25"/>
      <c r="K473" s="25"/>
      <c r="L473" s="24"/>
      <c r="M473" s="1"/>
    </row>
    <row r="474" ht="24.75" customHeight="1">
      <c r="A474" s="1"/>
      <c r="B474" s="22"/>
      <c r="C474" s="23"/>
      <c r="D474" s="23"/>
      <c r="E474" s="23"/>
      <c r="F474" s="24"/>
      <c r="G474" s="25"/>
      <c r="H474" s="25"/>
      <c r="I474" s="25"/>
      <c r="J474" s="25"/>
      <c r="K474" s="25"/>
      <c r="L474" s="24"/>
      <c r="M474" s="1"/>
    </row>
    <row r="475" ht="24.75" customHeight="1">
      <c r="A475" s="1"/>
      <c r="B475" s="22"/>
      <c r="C475" s="23"/>
      <c r="D475" s="23"/>
      <c r="E475" s="23"/>
      <c r="F475" s="24"/>
      <c r="G475" s="25"/>
      <c r="H475" s="25"/>
      <c r="I475" s="25"/>
      <c r="J475" s="25"/>
      <c r="K475" s="25"/>
      <c r="L475" s="24"/>
      <c r="M475" s="1"/>
    </row>
    <row r="476" ht="24.75" customHeight="1">
      <c r="A476" s="1"/>
      <c r="B476" s="22"/>
      <c r="C476" s="23"/>
      <c r="D476" s="23"/>
      <c r="E476" s="23"/>
      <c r="F476" s="24"/>
      <c r="G476" s="25"/>
      <c r="H476" s="25"/>
      <c r="I476" s="25"/>
      <c r="J476" s="25"/>
      <c r="K476" s="25"/>
      <c r="L476" s="24"/>
      <c r="M476" s="1"/>
    </row>
    <row r="477" ht="24.75" customHeight="1">
      <c r="A477" s="1"/>
      <c r="B477" s="22"/>
      <c r="C477" s="23"/>
      <c r="D477" s="23"/>
      <c r="E477" s="23"/>
      <c r="F477" s="24"/>
      <c r="G477" s="25"/>
      <c r="H477" s="25"/>
      <c r="I477" s="25"/>
      <c r="J477" s="25"/>
      <c r="K477" s="25"/>
      <c r="L477" s="24"/>
      <c r="M477" s="1"/>
    </row>
    <row r="478" ht="24.75" customHeight="1">
      <c r="A478" s="1"/>
      <c r="B478" s="22"/>
      <c r="C478" s="23"/>
      <c r="D478" s="23"/>
      <c r="E478" s="23"/>
      <c r="F478" s="24"/>
      <c r="G478" s="25"/>
      <c r="H478" s="25"/>
      <c r="I478" s="25"/>
      <c r="J478" s="25"/>
      <c r="K478" s="25"/>
      <c r="L478" s="24"/>
      <c r="M478" s="1"/>
    </row>
    <row r="479" ht="24.75" customHeight="1">
      <c r="A479" s="1"/>
      <c r="B479" s="22"/>
      <c r="C479" s="23"/>
      <c r="D479" s="23"/>
      <c r="E479" s="23"/>
      <c r="F479" s="24"/>
      <c r="G479" s="25"/>
      <c r="H479" s="25"/>
      <c r="I479" s="25"/>
      <c r="J479" s="25"/>
      <c r="K479" s="25"/>
      <c r="L479" s="24"/>
      <c r="M479" s="1"/>
    </row>
    <row r="480" ht="24.75" customHeight="1">
      <c r="A480" s="1"/>
      <c r="B480" s="22"/>
      <c r="C480" s="23"/>
      <c r="D480" s="23"/>
      <c r="E480" s="23"/>
      <c r="F480" s="24"/>
      <c r="G480" s="25"/>
      <c r="H480" s="25"/>
      <c r="I480" s="25"/>
      <c r="J480" s="25"/>
      <c r="K480" s="25"/>
      <c r="L480" s="24"/>
      <c r="M480" s="1"/>
    </row>
    <row r="481" ht="24.75" customHeight="1">
      <c r="A481" s="1"/>
      <c r="B481" s="22"/>
      <c r="C481" s="23"/>
      <c r="D481" s="23"/>
      <c r="E481" s="23"/>
      <c r="F481" s="24"/>
      <c r="G481" s="25"/>
      <c r="H481" s="25"/>
      <c r="I481" s="25"/>
      <c r="J481" s="25"/>
      <c r="K481" s="25"/>
      <c r="L481" s="24"/>
      <c r="M481" s="1"/>
    </row>
    <row r="482" ht="24.75" customHeight="1">
      <c r="A482" s="1"/>
      <c r="B482" s="22"/>
      <c r="C482" s="23"/>
      <c r="D482" s="23"/>
      <c r="E482" s="23"/>
      <c r="F482" s="24"/>
      <c r="G482" s="25"/>
      <c r="H482" s="25"/>
      <c r="I482" s="25"/>
      <c r="J482" s="25"/>
      <c r="K482" s="25"/>
      <c r="L482" s="24"/>
      <c r="M482" s="1"/>
    </row>
    <row r="483" ht="24.75" customHeight="1">
      <c r="A483" s="1"/>
      <c r="B483" s="22"/>
      <c r="C483" s="23"/>
      <c r="D483" s="23"/>
      <c r="E483" s="23"/>
      <c r="F483" s="24"/>
      <c r="G483" s="25"/>
      <c r="H483" s="25"/>
      <c r="I483" s="25"/>
      <c r="J483" s="25"/>
      <c r="K483" s="25"/>
      <c r="L483" s="24"/>
      <c r="M483" s="1"/>
    </row>
    <row r="484" ht="24.75" customHeight="1">
      <c r="A484" s="1"/>
      <c r="B484" s="22"/>
      <c r="C484" s="23"/>
      <c r="D484" s="23"/>
      <c r="E484" s="23"/>
      <c r="F484" s="24"/>
      <c r="G484" s="25"/>
      <c r="H484" s="25"/>
      <c r="I484" s="25"/>
      <c r="J484" s="25"/>
      <c r="K484" s="25"/>
      <c r="L484" s="24"/>
      <c r="M484" s="1"/>
    </row>
    <row r="485" ht="24.75" customHeight="1">
      <c r="A485" s="1"/>
      <c r="B485" s="22"/>
      <c r="C485" s="23"/>
      <c r="D485" s="23"/>
      <c r="E485" s="23"/>
      <c r="F485" s="24"/>
      <c r="G485" s="25"/>
      <c r="H485" s="25"/>
      <c r="I485" s="25"/>
      <c r="J485" s="25"/>
      <c r="K485" s="25"/>
      <c r="L485" s="24"/>
      <c r="M485" s="1"/>
    </row>
    <row r="486" ht="24.75" customHeight="1">
      <c r="A486" s="1"/>
      <c r="B486" s="22"/>
      <c r="C486" s="23"/>
      <c r="D486" s="23"/>
      <c r="E486" s="23"/>
      <c r="F486" s="24"/>
      <c r="G486" s="25"/>
      <c r="H486" s="25"/>
      <c r="I486" s="25"/>
      <c r="J486" s="25"/>
      <c r="K486" s="25"/>
      <c r="L486" s="24"/>
      <c r="M486" s="1"/>
    </row>
    <row r="487" ht="24.75" customHeight="1">
      <c r="A487" s="1"/>
      <c r="B487" s="22"/>
      <c r="C487" s="23"/>
      <c r="D487" s="23"/>
      <c r="E487" s="23"/>
      <c r="F487" s="24"/>
      <c r="G487" s="25"/>
      <c r="H487" s="25"/>
      <c r="I487" s="25"/>
      <c r="J487" s="25"/>
      <c r="K487" s="25"/>
      <c r="L487" s="24"/>
      <c r="M487" s="1"/>
    </row>
    <row r="488" ht="24.75" customHeight="1">
      <c r="A488" s="1"/>
      <c r="B488" s="22"/>
      <c r="C488" s="23"/>
      <c r="D488" s="23"/>
      <c r="E488" s="23"/>
      <c r="F488" s="24"/>
      <c r="G488" s="25"/>
      <c r="H488" s="25"/>
      <c r="I488" s="25"/>
      <c r="J488" s="25"/>
      <c r="K488" s="25"/>
      <c r="L488" s="24"/>
      <c r="M488" s="1"/>
    </row>
    <row r="489" ht="24.75" customHeight="1">
      <c r="A489" s="1"/>
      <c r="B489" s="22"/>
      <c r="C489" s="23"/>
      <c r="D489" s="23"/>
      <c r="E489" s="23"/>
      <c r="F489" s="24"/>
      <c r="G489" s="25"/>
      <c r="H489" s="25"/>
      <c r="I489" s="25"/>
      <c r="J489" s="25"/>
      <c r="K489" s="25"/>
      <c r="L489" s="24"/>
      <c r="M489" s="1"/>
    </row>
    <row r="490" ht="24.75" customHeight="1">
      <c r="A490" s="1"/>
      <c r="B490" s="22"/>
      <c r="C490" s="23"/>
      <c r="D490" s="23"/>
      <c r="E490" s="23"/>
      <c r="F490" s="24"/>
      <c r="G490" s="25"/>
      <c r="H490" s="25"/>
      <c r="I490" s="25"/>
      <c r="J490" s="25"/>
      <c r="K490" s="25"/>
      <c r="L490" s="24"/>
      <c r="M490" s="1"/>
    </row>
    <row r="491" ht="24.75" customHeight="1">
      <c r="A491" s="1"/>
      <c r="B491" s="22"/>
      <c r="C491" s="23"/>
      <c r="D491" s="23"/>
      <c r="E491" s="23"/>
      <c r="F491" s="24"/>
      <c r="G491" s="25"/>
      <c r="H491" s="25"/>
      <c r="I491" s="25"/>
      <c r="J491" s="25"/>
      <c r="K491" s="25"/>
      <c r="L491" s="24"/>
      <c r="M491" s="1"/>
    </row>
    <row r="492" ht="24.75" customHeight="1">
      <c r="A492" s="1"/>
      <c r="B492" s="22"/>
      <c r="C492" s="23"/>
      <c r="D492" s="23"/>
      <c r="E492" s="23"/>
      <c r="F492" s="24"/>
      <c r="G492" s="25"/>
      <c r="H492" s="25"/>
      <c r="I492" s="25"/>
      <c r="J492" s="25"/>
      <c r="K492" s="25"/>
      <c r="L492" s="24"/>
      <c r="M492" s="1"/>
    </row>
    <row r="493" ht="24.75" customHeight="1">
      <c r="A493" s="1"/>
      <c r="B493" s="22"/>
      <c r="C493" s="23"/>
      <c r="D493" s="23"/>
      <c r="E493" s="23"/>
      <c r="F493" s="24"/>
      <c r="G493" s="25"/>
      <c r="H493" s="25"/>
      <c r="I493" s="25"/>
      <c r="J493" s="25"/>
      <c r="K493" s="25"/>
      <c r="L493" s="24"/>
      <c r="M493" s="1"/>
    </row>
    <row r="494" ht="24.75" customHeight="1">
      <c r="A494" s="1"/>
      <c r="B494" s="22"/>
      <c r="C494" s="23"/>
      <c r="D494" s="23"/>
      <c r="E494" s="23"/>
      <c r="F494" s="24"/>
      <c r="G494" s="25"/>
      <c r="H494" s="25"/>
      <c r="I494" s="25"/>
      <c r="J494" s="25"/>
      <c r="K494" s="25"/>
      <c r="L494" s="24"/>
      <c r="M494" s="1"/>
    </row>
    <row r="495" ht="24.75" customHeight="1">
      <c r="A495" s="1"/>
      <c r="B495" s="22"/>
      <c r="C495" s="23"/>
      <c r="D495" s="23"/>
      <c r="E495" s="23"/>
      <c r="F495" s="24"/>
      <c r="G495" s="25"/>
      <c r="H495" s="25"/>
      <c r="I495" s="25"/>
      <c r="J495" s="25"/>
      <c r="K495" s="25"/>
      <c r="L495" s="24"/>
      <c r="M495" s="1"/>
    </row>
    <row r="496" ht="24.75" customHeight="1">
      <c r="A496" s="1"/>
      <c r="B496" s="22"/>
      <c r="C496" s="23"/>
      <c r="D496" s="23"/>
      <c r="E496" s="23"/>
      <c r="F496" s="24"/>
      <c r="G496" s="25"/>
      <c r="H496" s="25"/>
      <c r="I496" s="25"/>
      <c r="J496" s="25"/>
      <c r="K496" s="25"/>
      <c r="L496" s="24"/>
      <c r="M496" s="1"/>
    </row>
    <row r="497" ht="24.75" customHeight="1">
      <c r="A497" s="1"/>
      <c r="B497" s="22"/>
      <c r="C497" s="23"/>
      <c r="D497" s="23"/>
      <c r="E497" s="23"/>
      <c r="F497" s="24"/>
      <c r="G497" s="25"/>
      <c r="H497" s="25"/>
      <c r="I497" s="25"/>
      <c r="J497" s="25"/>
      <c r="K497" s="25"/>
      <c r="L497" s="24"/>
      <c r="M497" s="1"/>
    </row>
    <row r="498" ht="24.75" customHeight="1">
      <c r="A498" s="1"/>
      <c r="B498" s="22"/>
      <c r="C498" s="23"/>
      <c r="D498" s="23"/>
      <c r="E498" s="23"/>
      <c r="F498" s="24"/>
      <c r="G498" s="25"/>
      <c r="H498" s="25"/>
      <c r="I498" s="25"/>
      <c r="J498" s="25"/>
      <c r="K498" s="25"/>
      <c r="L498" s="24"/>
      <c r="M498" s="1"/>
    </row>
    <row r="499" ht="24.75" customHeight="1">
      <c r="A499" s="1"/>
      <c r="B499" s="22"/>
      <c r="C499" s="23"/>
      <c r="D499" s="23"/>
      <c r="E499" s="23"/>
      <c r="F499" s="24"/>
      <c r="G499" s="25"/>
      <c r="H499" s="25"/>
      <c r="I499" s="25"/>
      <c r="J499" s="25"/>
      <c r="K499" s="25"/>
      <c r="L499" s="24"/>
      <c r="M499" s="1"/>
    </row>
    <row r="500" ht="24.75" customHeight="1">
      <c r="A500" s="1"/>
      <c r="B500" s="22"/>
      <c r="C500" s="23"/>
      <c r="D500" s="23"/>
      <c r="E500" s="23"/>
      <c r="F500" s="24"/>
      <c r="G500" s="25"/>
      <c r="H500" s="25"/>
      <c r="I500" s="25"/>
      <c r="J500" s="25"/>
      <c r="K500" s="25"/>
      <c r="L500" s="24"/>
      <c r="M500" s="1"/>
    </row>
    <row r="501" ht="24.75" customHeight="1">
      <c r="A501" s="1"/>
      <c r="B501" s="22"/>
      <c r="C501" s="23"/>
      <c r="D501" s="23"/>
      <c r="E501" s="23"/>
      <c r="F501" s="24"/>
      <c r="G501" s="25"/>
      <c r="H501" s="25"/>
      <c r="I501" s="25"/>
      <c r="J501" s="25"/>
      <c r="K501" s="25"/>
      <c r="L501" s="24"/>
      <c r="M501" s="1"/>
    </row>
    <row r="502" ht="24.75" customHeight="1">
      <c r="A502" s="1"/>
      <c r="B502" s="22"/>
      <c r="C502" s="23"/>
      <c r="D502" s="23"/>
      <c r="E502" s="23"/>
      <c r="F502" s="24"/>
      <c r="G502" s="25"/>
      <c r="H502" s="25"/>
      <c r="I502" s="25"/>
      <c r="J502" s="25"/>
      <c r="K502" s="25"/>
      <c r="L502" s="24"/>
      <c r="M502" s="1"/>
    </row>
    <row r="503" ht="24.75" customHeight="1">
      <c r="A503" s="1"/>
      <c r="B503" s="22"/>
      <c r="C503" s="23"/>
      <c r="D503" s="23"/>
      <c r="E503" s="23"/>
      <c r="F503" s="24"/>
      <c r="G503" s="25"/>
      <c r="H503" s="25"/>
      <c r="I503" s="25"/>
      <c r="J503" s="25"/>
      <c r="K503" s="25"/>
      <c r="L503" s="24"/>
      <c r="M503" s="1"/>
    </row>
    <row r="504" ht="24.75" customHeight="1">
      <c r="A504" s="1"/>
      <c r="B504" s="22"/>
      <c r="C504" s="23"/>
      <c r="D504" s="23"/>
      <c r="E504" s="23"/>
      <c r="F504" s="24"/>
      <c r="G504" s="25"/>
      <c r="H504" s="25"/>
      <c r="I504" s="25"/>
      <c r="J504" s="25"/>
      <c r="K504" s="25"/>
      <c r="L504" s="24"/>
      <c r="M504" s="1"/>
    </row>
    <row r="505" ht="24.75" customHeight="1">
      <c r="A505" s="1"/>
      <c r="B505" s="22"/>
      <c r="C505" s="23"/>
      <c r="D505" s="23"/>
      <c r="E505" s="23"/>
      <c r="F505" s="24"/>
      <c r="G505" s="25"/>
      <c r="H505" s="25"/>
      <c r="I505" s="25"/>
      <c r="J505" s="25"/>
      <c r="K505" s="25"/>
      <c r="L505" s="24"/>
      <c r="M505" s="1"/>
    </row>
    <row r="506" ht="24.75" customHeight="1">
      <c r="A506" s="1"/>
      <c r="B506" s="22"/>
      <c r="C506" s="23"/>
      <c r="D506" s="23"/>
      <c r="E506" s="23"/>
      <c r="F506" s="24"/>
      <c r="G506" s="25"/>
      <c r="H506" s="25"/>
      <c r="I506" s="25"/>
      <c r="J506" s="25"/>
      <c r="K506" s="25"/>
      <c r="L506" s="24"/>
      <c r="M506" s="1"/>
    </row>
    <row r="507" ht="24.75" customHeight="1">
      <c r="A507" s="1"/>
      <c r="B507" s="22"/>
      <c r="C507" s="23"/>
      <c r="D507" s="23"/>
      <c r="E507" s="23"/>
      <c r="F507" s="24"/>
      <c r="G507" s="25"/>
      <c r="H507" s="25"/>
      <c r="I507" s="25"/>
      <c r="J507" s="25"/>
      <c r="K507" s="25"/>
      <c r="L507" s="24"/>
      <c r="M507" s="1"/>
    </row>
    <row r="508" ht="24.75" customHeight="1">
      <c r="A508" s="1"/>
      <c r="B508" s="22"/>
      <c r="C508" s="23"/>
      <c r="D508" s="23"/>
      <c r="E508" s="23"/>
      <c r="F508" s="24"/>
      <c r="G508" s="25"/>
      <c r="H508" s="25"/>
      <c r="I508" s="25"/>
      <c r="J508" s="25"/>
      <c r="K508" s="25"/>
      <c r="L508" s="24"/>
      <c r="M508" s="1"/>
    </row>
    <row r="509" ht="24.75" customHeight="1">
      <c r="A509" s="1"/>
      <c r="B509" s="22"/>
      <c r="C509" s="23"/>
      <c r="D509" s="23"/>
      <c r="E509" s="23"/>
      <c r="F509" s="24"/>
      <c r="G509" s="25"/>
      <c r="H509" s="25"/>
      <c r="I509" s="25"/>
      <c r="J509" s="25"/>
      <c r="K509" s="25"/>
      <c r="L509" s="24"/>
      <c r="M509" s="1"/>
    </row>
    <row r="510" ht="24.75" customHeight="1">
      <c r="A510" s="1"/>
      <c r="B510" s="22"/>
      <c r="C510" s="23"/>
      <c r="D510" s="23"/>
      <c r="E510" s="23"/>
      <c r="F510" s="24"/>
      <c r="G510" s="25"/>
      <c r="H510" s="25"/>
      <c r="I510" s="25"/>
      <c r="J510" s="25"/>
      <c r="K510" s="25"/>
      <c r="L510" s="24"/>
      <c r="M510" s="1"/>
    </row>
    <row r="511" ht="24.75" customHeight="1">
      <c r="A511" s="1"/>
      <c r="B511" s="22"/>
      <c r="C511" s="23"/>
      <c r="D511" s="23"/>
      <c r="E511" s="23"/>
      <c r="F511" s="24"/>
      <c r="G511" s="25"/>
      <c r="H511" s="25"/>
      <c r="I511" s="25"/>
      <c r="J511" s="25"/>
      <c r="K511" s="25"/>
      <c r="L511" s="24"/>
      <c r="M511" s="1"/>
    </row>
    <row r="512" ht="24.75" customHeight="1">
      <c r="A512" s="1"/>
      <c r="B512" s="22"/>
      <c r="C512" s="23"/>
      <c r="D512" s="23"/>
      <c r="E512" s="23"/>
      <c r="F512" s="24"/>
      <c r="G512" s="25"/>
      <c r="H512" s="25"/>
      <c r="I512" s="25"/>
      <c r="J512" s="25"/>
      <c r="K512" s="25"/>
      <c r="L512" s="24"/>
      <c r="M512" s="1"/>
    </row>
    <row r="513" ht="24.75" customHeight="1">
      <c r="A513" s="1"/>
      <c r="B513" s="22"/>
      <c r="C513" s="23"/>
      <c r="D513" s="23"/>
      <c r="E513" s="23"/>
      <c r="F513" s="24"/>
      <c r="G513" s="25"/>
      <c r="H513" s="25"/>
      <c r="I513" s="25"/>
      <c r="J513" s="25"/>
      <c r="K513" s="25"/>
      <c r="L513" s="24"/>
      <c r="M513" s="1"/>
    </row>
    <row r="514" ht="24.75" customHeight="1">
      <c r="A514" s="1"/>
      <c r="B514" s="22"/>
      <c r="C514" s="23"/>
      <c r="D514" s="23"/>
      <c r="E514" s="23"/>
      <c r="F514" s="24"/>
      <c r="G514" s="25"/>
      <c r="H514" s="25"/>
      <c r="I514" s="25"/>
      <c r="J514" s="25"/>
      <c r="K514" s="25"/>
      <c r="L514" s="24"/>
      <c r="M514" s="1"/>
    </row>
    <row r="515" ht="24.75" customHeight="1">
      <c r="A515" s="1"/>
      <c r="B515" s="22"/>
      <c r="C515" s="23"/>
      <c r="D515" s="23"/>
      <c r="E515" s="23"/>
      <c r="F515" s="24"/>
      <c r="G515" s="25"/>
      <c r="H515" s="25"/>
      <c r="I515" s="25"/>
      <c r="J515" s="25"/>
      <c r="K515" s="25"/>
      <c r="L515" s="24"/>
      <c r="M515" s="1"/>
    </row>
    <row r="516" ht="24.75" customHeight="1">
      <c r="A516" s="1"/>
      <c r="B516" s="22"/>
      <c r="C516" s="23"/>
      <c r="D516" s="23"/>
      <c r="E516" s="23"/>
      <c r="F516" s="24"/>
      <c r="G516" s="25"/>
      <c r="H516" s="25"/>
      <c r="I516" s="25"/>
      <c r="J516" s="25"/>
      <c r="K516" s="25"/>
      <c r="L516" s="24"/>
      <c r="M516" s="1"/>
    </row>
    <row r="517" ht="24.75" customHeight="1">
      <c r="A517" s="1"/>
      <c r="B517" s="22"/>
      <c r="C517" s="23"/>
      <c r="D517" s="23"/>
      <c r="E517" s="23"/>
      <c r="F517" s="24"/>
      <c r="G517" s="25"/>
      <c r="H517" s="25"/>
      <c r="I517" s="25"/>
      <c r="J517" s="25"/>
      <c r="K517" s="25"/>
      <c r="L517" s="24"/>
      <c r="M517" s="1"/>
    </row>
    <row r="518" ht="24.75" customHeight="1">
      <c r="A518" s="1"/>
      <c r="B518" s="22"/>
      <c r="C518" s="23"/>
      <c r="D518" s="23"/>
      <c r="E518" s="23"/>
      <c r="F518" s="24"/>
      <c r="G518" s="25"/>
      <c r="H518" s="25"/>
      <c r="I518" s="25"/>
      <c r="J518" s="25"/>
      <c r="K518" s="25"/>
      <c r="L518" s="24"/>
      <c r="M518" s="1"/>
    </row>
    <row r="519" ht="24.75" customHeight="1">
      <c r="A519" s="1"/>
      <c r="B519" s="22"/>
      <c r="C519" s="23"/>
      <c r="D519" s="23"/>
      <c r="E519" s="23"/>
      <c r="F519" s="24"/>
      <c r="G519" s="25"/>
      <c r="H519" s="25"/>
      <c r="I519" s="25"/>
      <c r="J519" s="25"/>
      <c r="K519" s="25"/>
      <c r="L519" s="24"/>
      <c r="M519" s="1"/>
    </row>
    <row r="520" ht="24.75" customHeight="1">
      <c r="A520" s="1"/>
      <c r="B520" s="22"/>
      <c r="C520" s="23"/>
      <c r="D520" s="23"/>
      <c r="E520" s="23"/>
      <c r="F520" s="24"/>
      <c r="G520" s="25"/>
      <c r="H520" s="25"/>
      <c r="I520" s="25"/>
      <c r="J520" s="25"/>
      <c r="K520" s="25"/>
      <c r="L520" s="24"/>
      <c r="M520" s="1"/>
    </row>
    <row r="521" ht="24.75" customHeight="1">
      <c r="A521" s="1"/>
      <c r="B521" s="22"/>
      <c r="C521" s="23"/>
      <c r="D521" s="23"/>
      <c r="E521" s="23"/>
      <c r="F521" s="24"/>
      <c r="G521" s="25"/>
      <c r="H521" s="25"/>
      <c r="I521" s="25"/>
      <c r="J521" s="25"/>
      <c r="K521" s="25"/>
      <c r="L521" s="24"/>
      <c r="M521" s="1"/>
    </row>
    <row r="522" ht="24.75" customHeight="1">
      <c r="A522" s="1"/>
      <c r="B522" s="22"/>
      <c r="C522" s="23"/>
      <c r="D522" s="23"/>
      <c r="E522" s="23"/>
      <c r="F522" s="24"/>
      <c r="G522" s="25"/>
      <c r="H522" s="25"/>
      <c r="I522" s="25"/>
      <c r="J522" s="25"/>
      <c r="K522" s="25"/>
      <c r="L522" s="24"/>
      <c r="M522" s="1"/>
    </row>
    <row r="523" ht="24.75" customHeight="1">
      <c r="A523" s="1"/>
      <c r="B523" s="22"/>
      <c r="C523" s="23"/>
      <c r="D523" s="23"/>
      <c r="E523" s="23"/>
      <c r="F523" s="24"/>
      <c r="G523" s="25"/>
      <c r="H523" s="25"/>
      <c r="I523" s="25"/>
      <c r="J523" s="25"/>
      <c r="K523" s="25"/>
      <c r="L523" s="24"/>
      <c r="M523" s="1"/>
    </row>
    <row r="524" ht="24.75" customHeight="1">
      <c r="A524" s="1"/>
      <c r="B524" s="22"/>
      <c r="C524" s="23"/>
      <c r="D524" s="23"/>
      <c r="E524" s="23"/>
      <c r="F524" s="24"/>
      <c r="G524" s="25"/>
      <c r="H524" s="25"/>
      <c r="I524" s="25"/>
      <c r="J524" s="25"/>
      <c r="K524" s="25"/>
      <c r="L524" s="24"/>
      <c r="M524" s="1"/>
    </row>
    <row r="525" ht="24.75" customHeight="1">
      <c r="A525" s="1"/>
      <c r="B525" s="22"/>
      <c r="C525" s="23"/>
      <c r="D525" s="23"/>
      <c r="E525" s="23"/>
      <c r="F525" s="24"/>
      <c r="G525" s="25"/>
      <c r="H525" s="25"/>
      <c r="I525" s="25"/>
      <c r="J525" s="25"/>
      <c r="K525" s="25"/>
      <c r="L525" s="24"/>
      <c r="M525" s="1"/>
    </row>
    <row r="526" ht="24.75" customHeight="1">
      <c r="A526" s="1"/>
      <c r="B526" s="22"/>
      <c r="C526" s="23"/>
      <c r="D526" s="23"/>
      <c r="E526" s="23"/>
      <c r="F526" s="24"/>
      <c r="G526" s="25"/>
      <c r="H526" s="25"/>
      <c r="I526" s="25"/>
      <c r="J526" s="25"/>
      <c r="K526" s="25"/>
      <c r="L526" s="24"/>
      <c r="M526" s="1"/>
    </row>
    <row r="527" ht="24.75" customHeight="1">
      <c r="A527" s="1"/>
      <c r="B527" s="22"/>
      <c r="C527" s="23"/>
      <c r="D527" s="23"/>
      <c r="E527" s="23"/>
      <c r="F527" s="24"/>
      <c r="G527" s="25"/>
      <c r="H527" s="25"/>
      <c r="I527" s="25"/>
      <c r="J527" s="25"/>
      <c r="K527" s="25"/>
      <c r="L527" s="24"/>
      <c r="M527" s="1"/>
    </row>
    <row r="528" ht="24.75" customHeight="1">
      <c r="A528" s="1"/>
      <c r="B528" s="22"/>
      <c r="C528" s="23"/>
      <c r="D528" s="23"/>
      <c r="E528" s="23"/>
      <c r="F528" s="24"/>
      <c r="G528" s="25"/>
      <c r="H528" s="25"/>
      <c r="I528" s="25"/>
      <c r="J528" s="25"/>
      <c r="K528" s="25"/>
      <c r="L528" s="24"/>
      <c r="M528" s="1"/>
    </row>
    <row r="529" ht="24.75" customHeight="1">
      <c r="A529" s="1"/>
      <c r="B529" s="22"/>
      <c r="C529" s="23"/>
      <c r="D529" s="23"/>
      <c r="E529" s="23"/>
      <c r="F529" s="24"/>
      <c r="G529" s="25"/>
      <c r="H529" s="25"/>
      <c r="I529" s="25"/>
      <c r="J529" s="25"/>
      <c r="K529" s="25"/>
      <c r="L529" s="24"/>
      <c r="M529" s="1"/>
    </row>
    <row r="530" ht="24.75" customHeight="1">
      <c r="A530" s="1"/>
      <c r="B530" s="22"/>
      <c r="C530" s="23"/>
      <c r="D530" s="23"/>
      <c r="E530" s="23"/>
      <c r="F530" s="24"/>
      <c r="G530" s="25"/>
      <c r="H530" s="25"/>
      <c r="I530" s="25"/>
      <c r="J530" s="25"/>
      <c r="K530" s="25"/>
      <c r="L530" s="24"/>
      <c r="M530" s="1"/>
    </row>
    <row r="531" ht="24.75" customHeight="1">
      <c r="A531" s="1"/>
      <c r="B531" s="22"/>
      <c r="C531" s="23"/>
      <c r="D531" s="23"/>
      <c r="E531" s="23"/>
      <c r="F531" s="24"/>
      <c r="G531" s="25"/>
      <c r="H531" s="25"/>
      <c r="I531" s="25"/>
      <c r="J531" s="25"/>
      <c r="K531" s="25"/>
      <c r="L531" s="24"/>
      <c r="M531" s="1"/>
    </row>
    <row r="532" ht="24.75" customHeight="1">
      <c r="A532" s="1"/>
      <c r="B532" s="22"/>
      <c r="C532" s="23"/>
      <c r="D532" s="23"/>
      <c r="E532" s="23"/>
      <c r="F532" s="24"/>
      <c r="G532" s="25"/>
      <c r="H532" s="25"/>
      <c r="I532" s="25"/>
      <c r="J532" s="25"/>
      <c r="K532" s="25"/>
      <c r="L532" s="24"/>
      <c r="M532" s="1"/>
    </row>
    <row r="533" ht="24.75" customHeight="1">
      <c r="A533" s="1"/>
      <c r="B533" s="22"/>
      <c r="C533" s="23"/>
      <c r="D533" s="23"/>
      <c r="E533" s="23"/>
      <c r="F533" s="24"/>
      <c r="G533" s="25"/>
      <c r="H533" s="25"/>
      <c r="I533" s="25"/>
      <c r="J533" s="25"/>
      <c r="K533" s="25"/>
      <c r="L533" s="24"/>
      <c r="M533" s="1"/>
    </row>
    <row r="534" ht="24.75" customHeight="1">
      <c r="A534" s="1"/>
      <c r="B534" s="22"/>
      <c r="C534" s="23"/>
      <c r="D534" s="23"/>
      <c r="E534" s="23"/>
      <c r="F534" s="24"/>
      <c r="G534" s="25"/>
      <c r="H534" s="25"/>
      <c r="I534" s="25"/>
      <c r="J534" s="25"/>
      <c r="K534" s="25"/>
      <c r="L534" s="24"/>
      <c r="M534" s="1"/>
    </row>
    <row r="535" ht="24.75" customHeight="1">
      <c r="A535" s="1"/>
      <c r="B535" s="22"/>
      <c r="C535" s="23"/>
      <c r="D535" s="23"/>
      <c r="E535" s="23"/>
      <c r="F535" s="24"/>
      <c r="G535" s="25"/>
      <c r="H535" s="25"/>
      <c r="I535" s="25"/>
      <c r="J535" s="25"/>
      <c r="K535" s="25"/>
      <c r="L535" s="24"/>
      <c r="M535" s="1"/>
    </row>
    <row r="536" ht="24.75" customHeight="1">
      <c r="A536" s="1"/>
      <c r="B536" s="22"/>
      <c r="C536" s="23"/>
      <c r="D536" s="23"/>
      <c r="E536" s="23"/>
      <c r="F536" s="24"/>
      <c r="G536" s="25"/>
      <c r="H536" s="25"/>
      <c r="I536" s="25"/>
      <c r="J536" s="25"/>
      <c r="K536" s="25"/>
      <c r="L536" s="24"/>
      <c r="M536" s="1"/>
    </row>
    <row r="537" ht="24.75" customHeight="1">
      <c r="A537" s="1"/>
      <c r="B537" s="22"/>
      <c r="C537" s="23"/>
      <c r="D537" s="23"/>
      <c r="E537" s="23"/>
      <c r="F537" s="24"/>
      <c r="G537" s="25"/>
      <c r="H537" s="25"/>
      <c r="I537" s="25"/>
      <c r="J537" s="25"/>
      <c r="K537" s="25"/>
      <c r="L537" s="24"/>
      <c r="M537" s="1"/>
    </row>
    <row r="538" ht="24.75" customHeight="1">
      <c r="A538" s="1"/>
      <c r="B538" s="22"/>
      <c r="C538" s="23"/>
      <c r="D538" s="23"/>
      <c r="E538" s="23"/>
      <c r="F538" s="24"/>
      <c r="G538" s="25"/>
      <c r="H538" s="25"/>
      <c r="I538" s="25"/>
      <c r="J538" s="25"/>
      <c r="K538" s="25"/>
      <c r="L538" s="24"/>
      <c r="M538" s="1"/>
    </row>
    <row r="539" ht="24.75" customHeight="1">
      <c r="A539" s="1"/>
      <c r="B539" s="22"/>
      <c r="C539" s="23"/>
      <c r="D539" s="23"/>
      <c r="E539" s="23"/>
      <c r="F539" s="24"/>
      <c r="G539" s="25"/>
      <c r="H539" s="25"/>
      <c r="I539" s="25"/>
      <c r="J539" s="25"/>
      <c r="K539" s="25"/>
      <c r="L539" s="24"/>
      <c r="M539" s="1"/>
    </row>
    <row r="540" ht="24.75" customHeight="1">
      <c r="A540" s="1"/>
      <c r="B540" s="22"/>
      <c r="C540" s="23"/>
      <c r="D540" s="23"/>
      <c r="E540" s="23"/>
      <c r="F540" s="24"/>
      <c r="G540" s="25"/>
      <c r="H540" s="25"/>
      <c r="I540" s="25"/>
      <c r="J540" s="25"/>
      <c r="K540" s="25"/>
      <c r="L540" s="24"/>
      <c r="M540" s="1"/>
    </row>
    <row r="541" ht="24.75" customHeight="1">
      <c r="A541" s="1"/>
      <c r="B541" s="22"/>
      <c r="C541" s="23"/>
      <c r="D541" s="23"/>
      <c r="E541" s="23"/>
      <c r="F541" s="24"/>
      <c r="G541" s="25"/>
      <c r="H541" s="25"/>
      <c r="I541" s="25"/>
      <c r="J541" s="25"/>
      <c r="K541" s="25"/>
      <c r="L541" s="24"/>
      <c r="M541" s="1"/>
    </row>
    <row r="542" ht="24.75" customHeight="1">
      <c r="A542" s="1"/>
      <c r="B542" s="22"/>
      <c r="C542" s="23"/>
      <c r="D542" s="23"/>
      <c r="E542" s="23"/>
      <c r="F542" s="24"/>
      <c r="G542" s="25"/>
      <c r="H542" s="25"/>
      <c r="I542" s="25"/>
      <c r="J542" s="25"/>
      <c r="K542" s="25"/>
      <c r="L542" s="24"/>
      <c r="M542" s="1"/>
    </row>
    <row r="543" ht="24.75" customHeight="1">
      <c r="A543" s="1"/>
      <c r="B543" s="22"/>
      <c r="C543" s="23"/>
      <c r="D543" s="23"/>
      <c r="E543" s="23"/>
      <c r="F543" s="24"/>
      <c r="G543" s="25"/>
      <c r="H543" s="25"/>
      <c r="I543" s="25"/>
      <c r="J543" s="25"/>
      <c r="K543" s="25"/>
      <c r="L543" s="24"/>
      <c r="M543" s="1"/>
    </row>
    <row r="544" ht="24.75" customHeight="1">
      <c r="A544" s="1"/>
      <c r="B544" s="22"/>
      <c r="C544" s="23"/>
      <c r="D544" s="23"/>
      <c r="E544" s="23"/>
      <c r="F544" s="24"/>
      <c r="G544" s="25"/>
      <c r="H544" s="25"/>
      <c r="I544" s="25"/>
      <c r="J544" s="25"/>
      <c r="K544" s="25"/>
      <c r="L544" s="24"/>
      <c r="M544" s="1"/>
    </row>
    <row r="545" ht="24.75" customHeight="1">
      <c r="A545" s="1"/>
      <c r="B545" s="22"/>
      <c r="C545" s="23"/>
      <c r="D545" s="23"/>
      <c r="E545" s="23"/>
      <c r="F545" s="24"/>
      <c r="G545" s="25"/>
      <c r="H545" s="25"/>
      <c r="I545" s="25"/>
      <c r="J545" s="25"/>
      <c r="K545" s="25"/>
      <c r="L545" s="24"/>
      <c r="M545" s="1"/>
    </row>
    <row r="546" ht="24.75" customHeight="1">
      <c r="A546" s="1"/>
      <c r="B546" s="22"/>
      <c r="C546" s="23"/>
      <c r="D546" s="23"/>
      <c r="E546" s="23"/>
      <c r="F546" s="24"/>
      <c r="G546" s="25"/>
      <c r="H546" s="25"/>
      <c r="I546" s="25"/>
      <c r="J546" s="25"/>
      <c r="K546" s="25"/>
      <c r="L546" s="24"/>
      <c r="M546" s="1"/>
    </row>
    <row r="547" ht="24.75" customHeight="1">
      <c r="A547" s="1"/>
      <c r="B547" s="22"/>
      <c r="C547" s="23"/>
      <c r="D547" s="23"/>
      <c r="E547" s="23"/>
      <c r="F547" s="24"/>
      <c r="G547" s="25"/>
      <c r="H547" s="25"/>
      <c r="I547" s="25"/>
      <c r="J547" s="25"/>
      <c r="K547" s="25"/>
      <c r="L547" s="24"/>
      <c r="M547" s="1"/>
    </row>
    <row r="548" ht="24.75" customHeight="1">
      <c r="A548" s="1"/>
      <c r="B548" s="22"/>
      <c r="C548" s="23"/>
      <c r="D548" s="23"/>
      <c r="E548" s="23"/>
      <c r="F548" s="24"/>
      <c r="G548" s="25"/>
      <c r="H548" s="25"/>
      <c r="I548" s="25"/>
      <c r="J548" s="25"/>
      <c r="K548" s="25"/>
      <c r="L548" s="24"/>
      <c r="M548" s="1"/>
    </row>
    <row r="549" ht="24.75" customHeight="1">
      <c r="A549" s="1"/>
      <c r="B549" s="22"/>
      <c r="C549" s="23"/>
      <c r="D549" s="23"/>
      <c r="E549" s="23"/>
      <c r="F549" s="24"/>
      <c r="G549" s="25"/>
      <c r="H549" s="25"/>
      <c r="I549" s="25"/>
      <c r="J549" s="25"/>
      <c r="K549" s="25"/>
      <c r="L549" s="24"/>
      <c r="M549" s="1"/>
    </row>
    <row r="550" ht="24.75" customHeight="1">
      <c r="A550" s="1"/>
      <c r="B550" s="22"/>
      <c r="C550" s="23"/>
      <c r="D550" s="23"/>
      <c r="E550" s="23"/>
      <c r="F550" s="24"/>
      <c r="G550" s="25"/>
      <c r="H550" s="25"/>
      <c r="I550" s="25"/>
      <c r="J550" s="25"/>
      <c r="K550" s="25"/>
      <c r="L550" s="24"/>
      <c r="M550" s="1"/>
    </row>
    <row r="551" ht="24.75" customHeight="1">
      <c r="A551" s="1"/>
      <c r="B551" s="22"/>
      <c r="C551" s="23"/>
      <c r="D551" s="23"/>
      <c r="E551" s="23"/>
      <c r="F551" s="24"/>
      <c r="G551" s="25"/>
      <c r="H551" s="25"/>
      <c r="I551" s="25"/>
      <c r="J551" s="25"/>
      <c r="K551" s="25"/>
      <c r="L551" s="24"/>
      <c r="M551" s="1"/>
    </row>
    <row r="552" ht="24.75" customHeight="1">
      <c r="A552" s="1"/>
      <c r="B552" s="22"/>
      <c r="C552" s="23"/>
      <c r="D552" s="23"/>
      <c r="E552" s="23"/>
      <c r="F552" s="24"/>
      <c r="G552" s="25"/>
      <c r="H552" s="25"/>
      <c r="I552" s="25"/>
      <c r="J552" s="25"/>
      <c r="K552" s="25"/>
      <c r="L552" s="24"/>
      <c r="M552" s="1"/>
    </row>
    <row r="553" ht="24.75" customHeight="1">
      <c r="A553" s="1"/>
      <c r="B553" s="22"/>
      <c r="C553" s="23"/>
      <c r="D553" s="23"/>
      <c r="E553" s="23"/>
      <c r="F553" s="24"/>
      <c r="G553" s="25"/>
      <c r="H553" s="25"/>
      <c r="I553" s="25"/>
      <c r="J553" s="25"/>
      <c r="K553" s="25"/>
      <c r="L553" s="24"/>
      <c r="M553" s="1"/>
    </row>
    <row r="554" ht="24.75" customHeight="1">
      <c r="A554" s="1"/>
      <c r="B554" s="22"/>
      <c r="C554" s="23"/>
      <c r="D554" s="23"/>
      <c r="E554" s="23"/>
      <c r="F554" s="24"/>
      <c r="G554" s="25"/>
      <c r="H554" s="25"/>
      <c r="I554" s="25"/>
      <c r="J554" s="25"/>
      <c r="K554" s="25"/>
      <c r="L554" s="24"/>
      <c r="M554" s="1"/>
    </row>
    <row r="555" ht="24.75" customHeight="1">
      <c r="A555" s="1"/>
      <c r="B555" s="22"/>
      <c r="C555" s="23"/>
      <c r="D555" s="23"/>
      <c r="E555" s="23"/>
      <c r="F555" s="24"/>
      <c r="G555" s="25"/>
      <c r="H555" s="25"/>
      <c r="I555" s="25"/>
      <c r="J555" s="25"/>
      <c r="K555" s="25"/>
      <c r="L555" s="24"/>
      <c r="M555" s="1"/>
    </row>
    <row r="556" ht="24.75" customHeight="1">
      <c r="A556" s="1"/>
      <c r="B556" s="22"/>
      <c r="C556" s="23"/>
      <c r="D556" s="23"/>
      <c r="E556" s="23"/>
      <c r="F556" s="24"/>
      <c r="G556" s="25"/>
      <c r="H556" s="25"/>
      <c r="I556" s="25"/>
      <c r="J556" s="25"/>
      <c r="K556" s="25"/>
      <c r="L556" s="24"/>
      <c r="M556" s="1"/>
    </row>
    <row r="557" ht="24.75" customHeight="1">
      <c r="A557" s="1"/>
      <c r="B557" s="22"/>
      <c r="C557" s="23"/>
      <c r="D557" s="23"/>
      <c r="E557" s="23"/>
      <c r="F557" s="24"/>
      <c r="G557" s="25"/>
      <c r="H557" s="25"/>
      <c r="I557" s="25"/>
      <c r="J557" s="25"/>
      <c r="K557" s="25"/>
      <c r="L557" s="24"/>
      <c r="M557" s="1"/>
    </row>
    <row r="558" ht="24.75" customHeight="1">
      <c r="A558" s="1"/>
      <c r="B558" s="22"/>
      <c r="C558" s="23"/>
      <c r="D558" s="23"/>
      <c r="E558" s="23"/>
      <c r="F558" s="24"/>
      <c r="G558" s="25"/>
      <c r="H558" s="25"/>
      <c r="I558" s="25"/>
      <c r="J558" s="25"/>
      <c r="K558" s="25"/>
      <c r="L558" s="24"/>
      <c r="M558" s="1"/>
    </row>
    <row r="559" ht="24.75" customHeight="1">
      <c r="A559" s="1"/>
      <c r="B559" s="22"/>
      <c r="C559" s="23"/>
      <c r="D559" s="23"/>
      <c r="E559" s="23"/>
      <c r="F559" s="24"/>
      <c r="G559" s="25"/>
      <c r="H559" s="25"/>
      <c r="I559" s="25"/>
      <c r="J559" s="25"/>
      <c r="K559" s="25"/>
      <c r="L559" s="24"/>
      <c r="M559" s="1"/>
    </row>
    <row r="560" ht="24.75" customHeight="1">
      <c r="A560" s="1"/>
      <c r="B560" s="22"/>
      <c r="C560" s="23"/>
      <c r="D560" s="23"/>
      <c r="E560" s="23"/>
      <c r="F560" s="24"/>
      <c r="G560" s="25"/>
      <c r="H560" s="25"/>
      <c r="I560" s="25"/>
      <c r="J560" s="25"/>
      <c r="K560" s="25"/>
      <c r="L560" s="24"/>
      <c r="M560" s="1"/>
    </row>
    <row r="561" ht="24.75" customHeight="1">
      <c r="A561" s="1"/>
      <c r="B561" s="22"/>
      <c r="C561" s="23"/>
      <c r="D561" s="23"/>
      <c r="E561" s="23"/>
      <c r="F561" s="24"/>
      <c r="G561" s="25"/>
      <c r="H561" s="25"/>
      <c r="I561" s="25"/>
      <c r="J561" s="25"/>
      <c r="K561" s="25"/>
      <c r="L561" s="24"/>
      <c r="M561" s="1"/>
    </row>
    <row r="562" ht="24.75" customHeight="1">
      <c r="A562" s="1"/>
      <c r="B562" s="22"/>
      <c r="C562" s="23"/>
      <c r="D562" s="23"/>
      <c r="E562" s="23"/>
      <c r="F562" s="24"/>
      <c r="G562" s="25"/>
      <c r="H562" s="25"/>
      <c r="I562" s="25"/>
      <c r="J562" s="25"/>
      <c r="K562" s="25"/>
      <c r="L562" s="24"/>
      <c r="M562" s="1"/>
    </row>
    <row r="563" ht="24.75" customHeight="1">
      <c r="A563" s="1"/>
      <c r="B563" s="22"/>
      <c r="C563" s="23"/>
      <c r="D563" s="23"/>
      <c r="E563" s="23"/>
      <c r="F563" s="24"/>
      <c r="G563" s="25"/>
      <c r="H563" s="25"/>
      <c r="I563" s="25"/>
      <c r="J563" s="25"/>
      <c r="K563" s="25"/>
      <c r="L563" s="24"/>
      <c r="M563" s="1"/>
    </row>
    <row r="564" ht="24.75" customHeight="1">
      <c r="A564" s="1"/>
      <c r="B564" s="22"/>
      <c r="C564" s="23"/>
      <c r="D564" s="23"/>
      <c r="E564" s="23"/>
      <c r="F564" s="24"/>
      <c r="G564" s="25"/>
      <c r="H564" s="25"/>
      <c r="I564" s="25"/>
      <c r="J564" s="25"/>
      <c r="K564" s="25"/>
      <c r="L564" s="24"/>
      <c r="M564" s="1"/>
    </row>
    <row r="565" ht="24.75" customHeight="1">
      <c r="A565" s="1"/>
      <c r="B565" s="22"/>
      <c r="C565" s="23"/>
      <c r="D565" s="23"/>
      <c r="E565" s="23"/>
      <c r="F565" s="24"/>
      <c r="G565" s="25"/>
      <c r="H565" s="25"/>
      <c r="I565" s="25"/>
      <c r="J565" s="25"/>
      <c r="K565" s="25"/>
      <c r="L565" s="24"/>
      <c r="M565" s="1"/>
    </row>
    <row r="566" ht="24.75" customHeight="1">
      <c r="A566" s="1"/>
      <c r="B566" s="22"/>
      <c r="C566" s="23"/>
      <c r="D566" s="23"/>
      <c r="E566" s="23"/>
      <c r="F566" s="24"/>
      <c r="G566" s="25"/>
      <c r="H566" s="25"/>
      <c r="I566" s="25"/>
      <c r="J566" s="25"/>
      <c r="K566" s="25"/>
      <c r="L566" s="24"/>
      <c r="M566" s="1"/>
    </row>
    <row r="567" ht="24.75" customHeight="1">
      <c r="A567" s="1"/>
      <c r="B567" s="22"/>
      <c r="C567" s="23"/>
      <c r="D567" s="23"/>
      <c r="E567" s="23"/>
      <c r="F567" s="24"/>
      <c r="G567" s="25"/>
      <c r="H567" s="25"/>
      <c r="I567" s="25"/>
      <c r="J567" s="25"/>
      <c r="K567" s="25"/>
      <c r="L567" s="24"/>
      <c r="M567" s="1"/>
    </row>
    <row r="568" ht="24.75" customHeight="1">
      <c r="A568" s="1"/>
      <c r="B568" s="22"/>
      <c r="C568" s="23"/>
      <c r="D568" s="23"/>
      <c r="E568" s="23"/>
      <c r="F568" s="24"/>
      <c r="G568" s="25"/>
      <c r="H568" s="25"/>
      <c r="I568" s="25"/>
      <c r="J568" s="25"/>
      <c r="K568" s="25"/>
      <c r="L568" s="24"/>
      <c r="M568" s="1"/>
    </row>
    <row r="569" ht="24.75" customHeight="1">
      <c r="A569" s="1"/>
      <c r="B569" s="22"/>
      <c r="C569" s="23"/>
      <c r="D569" s="23"/>
      <c r="E569" s="23"/>
      <c r="F569" s="24"/>
      <c r="G569" s="25"/>
      <c r="H569" s="25"/>
      <c r="I569" s="25"/>
      <c r="J569" s="25"/>
      <c r="K569" s="25"/>
      <c r="L569" s="24"/>
      <c r="M569" s="1"/>
    </row>
    <row r="570" ht="24.75" customHeight="1">
      <c r="A570" s="1"/>
      <c r="B570" s="22"/>
      <c r="C570" s="23"/>
      <c r="D570" s="23"/>
      <c r="E570" s="23"/>
      <c r="F570" s="24"/>
      <c r="G570" s="25"/>
      <c r="H570" s="25"/>
      <c r="I570" s="25"/>
      <c r="J570" s="25"/>
      <c r="K570" s="25"/>
      <c r="L570" s="24"/>
      <c r="M570" s="1"/>
    </row>
    <row r="571" ht="24.75" customHeight="1">
      <c r="A571" s="1"/>
      <c r="B571" s="22"/>
      <c r="C571" s="23"/>
      <c r="D571" s="23"/>
      <c r="E571" s="23"/>
      <c r="F571" s="24"/>
      <c r="G571" s="25"/>
      <c r="H571" s="25"/>
      <c r="I571" s="25"/>
      <c r="J571" s="25"/>
      <c r="K571" s="25"/>
      <c r="L571" s="24"/>
      <c r="M571" s="1"/>
    </row>
    <row r="572" ht="24.75" customHeight="1">
      <c r="A572" s="1"/>
      <c r="B572" s="22"/>
      <c r="C572" s="23"/>
      <c r="D572" s="23"/>
      <c r="E572" s="23"/>
      <c r="F572" s="24"/>
      <c r="G572" s="25"/>
      <c r="H572" s="25"/>
      <c r="I572" s="25"/>
      <c r="J572" s="25"/>
      <c r="K572" s="25"/>
      <c r="L572" s="24"/>
      <c r="M572" s="1"/>
    </row>
    <row r="573" ht="24.75" customHeight="1">
      <c r="A573" s="1"/>
      <c r="B573" s="22"/>
      <c r="C573" s="23"/>
      <c r="D573" s="23"/>
      <c r="E573" s="23"/>
      <c r="F573" s="24"/>
      <c r="G573" s="25"/>
      <c r="H573" s="25"/>
      <c r="I573" s="25"/>
      <c r="J573" s="25"/>
      <c r="K573" s="25"/>
      <c r="L573" s="24"/>
      <c r="M573" s="1"/>
    </row>
    <row r="574" ht="24.75" customHeight="1">
      <c r="A574" s="1"/>
      <c r="B574" s="22"/>
      <c r="C574" s="23"/>
      <c r="D574" s="23"/>
      <c r="E574" s="23"/>
      <c r="F574" s="24"/>
      <c r="G574" s="25"/>
      <c r="H574" s="25"/>
      <c r="I574" s="25"/>
      <c r="J574" s="25"/>
      <c r="K574" s="25"/>
      <c r="L574" s="24"/>
      <c r="M574" s="1"/>
    </row>
    <row r="575" ht="24.75" customHeight="1">
      <c r="A575" s="1"/>
      <c r="B575" s="22"/>
      <c r="C575" s="23"/>
      <c r="D575" s="23"/>
      <c r="E575" s="23"/>
      <c r="F575" s="24"/>
      <c r="G575" s="25"/>
      <c r="H575" s="25"/>
      <c r="I575" s="25"/>
      <c r="J575" s="25"/>
      <c r="K575" s="25"/>
      <c r="L575" s="24"/>
      <c r="M575" s="1"/>
    </row>
    <row r="576" ht="24.75" customHeight="1">
      <c r="A576" s="1"/>
      <c r="B576" s="22"/>
      <c r="C576" s="23"/>
      <c r="D576" s="23"/>
      <c r="E576" s="23"/>
      <c r="F576" s="24"/>
      <c r="G576" s="25"/>
      <c r="H576" s="25"/>
      <c r="I576" s="25"/>
      <c r="J576" s="25"/>
      <c r="K576" s="25"/>
      <c r="L576" s="24"/>
      <c r="M576" s="1"/>
    </row>
    <row r="577" ht="24.75" customHeight="1">
      <c r="A577" s="1"/>
      <c r="B577" s="22"/>
      <c r="C577" s="23"/>
      <c r="D577" s="23"/>
      <c r="E577" s="23"/>
      <c r="F577" s="24"/>
      <c r="G577" s="25"/>
      <c r="H577" s="25"/>
      <c r="I577" s="25"/>
      <c r="J577" s="25"/>
      <c r="K577" s="25"/>
      <c r="L577" s="24"/>
      <c r="M577" s="1"/>
    </row>
    <row r="578" ht="24.75" customHeight="1">
      <c r="A578" s="1"/>
      <c r="B578" s="22"/>
      <c r="C578" s="23"/>
      <c r="D578" s="23"/>
      <c r="E578" s="23"/>
      <c r="F578" s="24"/>
      <c r="G578" s="25"/>
      <c r="H578" s="25"/>
      <c r="I578" s="25"/>
      <c r="J578" s="25"/>
      <c r="K578" s="25"/>
      <c r="L578" s="24"/>
      <c r="M578" s="1"/>
    </row>
    <row r="579" ht="24.75" customHeight="1">
      <c r="A579" s="1"/>
      <c r="B579" s="22"/>
      <c r="C579" s="23"/>
      <c r="D579" s="23"/>
      <c r="E579" s="23"/>
      <c r="F579" s="24"/>
      <c r="G579" s="25"/>
      <c r="H579" s="25"/>
      <c r="I579" s="25"/>
      <c r="J579" s="25"/>
      <c r="K579" s="25"/>
      <c r="L579" s="24"/>
      <c r="M579" s="1"/>
    </row>
    <row r="580" ht="24.75" customHeight="1">
      <c r="A580" s="1"/>
      <c r="B580" s="22"/>
      <c r="C580" s="23"/>
      <c r="D580" s="23"/>
      <c r="E580" s="23"/>
      <c r="F580" s="24"/>
      <c r="G580" s="25"/>
      <c r="H580" s="25"/>
      <c r="I580" s="25"/>
      <c r="J580" s="25"/>
      <c r="K580" s="25"/>
      <c r="L580" s="24"/>
      <c r="M580" s="1"/>
    </row>
    <row r="581" ht="24.75" customHeight="1">
      <c r="A581" s="1"/>
      <c r="B581" s="22"/>
      <c r="C581" s="23"/>
      <c r="D581" s="23"/>
      <c r="E581" s="23"/>
      <c r="F581" s="24"/>
      <c r="G581" s="25"/>
      <c r="H581" s="25"/>
      <c r="I581" s="25"/>
      <c r="J581" s="25"/>
      <c r="K581" s="25"/>
      <c r="L581" s="24"/>
      <c r="M581" s="1"/>
    </row>
    <row r="582" ht="24.75" customHeight="1">
      <c r="A582" s="1"/>
      <c r="B582" s="22"/>
      <c r="C582" s="23"/>
      <c r="D582" s="23"/>
      <c r="E582" s="23"/>
      <c r="F582" s="24"/>
      <c r="G582" s="25"/>
      <c r="H582" s="25"/>
      <c r="I582" s="25"/>
      <c r="J582" s="25"/>
      <c r="K582" s="25"/>
      <c r="L582" s="24"/>
      <c r="M582" s="1"/>
    </row>
    <row r="583" ht="24.75" customHeight="1">
      <c r="A583" s="1"/>
      <c r="B583" s="22"/>
      <c r="C583" s="23"/>
      <c r="D583" s="23"/>
      <c r="E583" s="23"/>
      <c r="F583" s="24"/>
      <c r="G583" s="25"/>
      <c r="H583" s="25"/>
      <c r="I583" s="25"/>
      <c r="J583" s="25"/>
      <c r="K583" s="25"/>
      <c r="L583" s="24"/>
      <c r="M583" s="1"/>
    </row>
    <row r="584" ht="24.75" customHeight="1">
      <c r="A584" s="1"/>
      <c r="B584" s="22"/>
      <c r="C584" s="23"/>
      <c r="D584" s="23"/>
      <c r="E584" s="23"/>
      <c r="F584" s="24"/>
      <c r="G584" s="25"/>
      <c r="H584" s="25"/>
      <c r="I584" s="25"/>
      <c r="J584" s="25"/>
      <c r="K584" s="25"/>
      <c r="L584" s="24"/>
      <c r="M584" s="1"/>
    </row>
    <row r="585" ht="24.75" customHeight="1">
      <c r="A585" s="1"/>
      <c r="B585" s="22"/>
      <c r="C585" s="23"/>
      <c r="D585" s="23"/>
      <c r="E585" s="23"/>
      <c r="F585" s="24"/>
      <c r="G585" s="25"/>
      <c r="H585" s="25"/>
      <c r="I585" s="25"/>
      <c r="J585" s="25"/>
      <c r="K585" s="25"/>
      <c r="L585" s="24"/>
      <c r="M585" s="1"/>
    </row>
    <row r="586" ht="24.75" customHeight="1">
      <c r="A586" s="1"/>
      <c r="B586" s="22"/>
      <c r="C586" s="23"/>
      <c r="D586" s="23"/>
      <c r="E586" s="23"/>
      <c r="F586" s="24"/>
      <c r="G586" s="25"/>
      <c r="H586" s="25"/>
      <c r="I586" s="25"/>
      <c r="J586" s="25"/>
      <c r="K586" s="25"/>
      <c r="L586" s="24"/>
      <c r="M586" s="1"/>
    </row>
    <row r="587" ht="24.75" customHeight="1">
      <c r="A587" s="1"/>
      <c r="B587" s="22"/>
      <c r="C587" s="23"/>
      <c r="D587" s="23"/>
      <c r="E587" s="23"/>
      <c r="F587" s="24"/>
      <c r="G587" s="25"/>
      <c r="H587" s="25"/>
      <c r="I587" s="25"/>
      <c r="J587" s="25"/>
      <c r="K587" s="25"/>
      <c r="L587" s="24"/>
      <c r="M587" s="1"/>
    </row>
    <row r="588" ht="24.75" customHeight="1">
      <c r="A588" s="1"/>
      <c r="B588" s="22"/>
      <c r="C588" s="23"/>
      <c r="D588" s="23"/>
      <c r="E588" s="23"/>
      <c r="F588" s="24"/>
      <c r="G588" s="25"/>
      <c r="H588" s="25"/>
      <c r="I588" s="25"/>
      <c r="J588" s="25"/>
      <c r="K588" s="25"/>
      <c r="L588" s="24"/>
      <c r="M588" s="1"/>
    </row>
    <row r="589" ht="24.75" customHeight="1">
      <c r="A589" s="1"/>
      <c r="B589" s="22"/>
      <c r="C589" s="23"/>
      <c r="D589" s="23"/>
      <c r="E589" s="23"/>
      <c r="F589" s="24"/>
      <c r="G589" s="25"/>
      <c r="H589" s="25"/>
      <c r="I589" s="25"/>
      <c r="J589" s="25"/>
      <c r="K589" s="25"/>
      <c r="L589" s="24"/>
      <c r="M589" s="1"/>
    </row>
    <row r="590" ht="24.75" customHeight="1">
      <c r="A590" s="1"/>
      <c r="B590" s="22"/>
      <c r="C590" s="23"/>
      <c r="D590" s="23"/>
      <c r="E590" s="23"/>
      <c r="F590" s="24"/>
      <c r="G590" s="25"/>
      <c r="H590" s="25"/>
      <c r="I590" s="25"/>
      <c r="J590" s="25"/>
      <c r="K590" s="25"/>
      <c r="L590" s="24"/>
      <c r="M590" s="1"/>
    </row>
    <row r="591" ht="24.75" customHeight="1">
      <c r="A591" s="1"/>
      <c r="B591" s="22"/>
      <c r="C591" s="23"/>
      <c r="D591" s="23"/>
      <c r="E591" s="23"/>
      <c r="F591" s="24"/>
      <c r="G591" s="25"/>
      <c r="H591" s="25"/>
      <c r="I591" s="25"/>
      <c r="J591" s="25"/>
      <c r="K591" s="25"/>
      <c r="L591" s="24"/>
      <c r="M591" s="1"/>
    </row>
    <row r="592" ht="24.75" customHeight="1">
      <c r="A592" s="1"/>
      <c r="B592" s="22"/>
      <c r="C592" s="23"/>
      <c r="D592" s="23"/>
      <c r="E592" s="23"/>
      <c r="F592" s="24"/>
      <c r="G592" s="25"/>
      <c r="H592" s="25"/>
      <c r="I592" s="25"/>
      <c r="J592" s="25"/>
      <c r="K592" s="25"/>
      <c r="L592" s="24"/>
      <c r="M592" s="1"/>
    </row>
    <row r="593" ht="24.75" customHeight="1">
      <c r="A593" s="1"/>
      <c r="B593" s="22"/>
      <c r="C593" s="23"/>
      <c r="D593" s="23"/>
      <c r="E593" s="23"/>
      <c r="F593" s="24"/>
      <c r="G593" s="25"/>
      <c r="H593" s="25"/>
      <c r="I593" s="25"/>
      <c r="J593" s="25"/>
      <c r="K593" s="25"/>
      <c r="L593" s="24"/>
      <c r="M593" s="1"/>
    </row>
    <row r="594" ht="24.75" customHeight="1">
      <c r="A594" s="1"/>
      <c r="B594" s="22"/>
      <c r="C594" s="23"/>
      <c r="D594" s="23"/>
      <c r="E594" s="23"/>
      <c r="F594" s="24"/>
      <c r="G594" s="25"/>
      <c r="H594" s="25"/>
      <c r="I594" s="25"/>
      <c r="J594" s="25"/>
      <c r="K594" s="25"/>
      <c r="L594" s="24"/>
      <c r="M594" s="1"/>
    </row>
    <row r="595" ht="24.75" customHeight="1">
      <c r="A595" s="1"/>
      <c r="B595" s="22"/>
      <c r="C595" s="23"/>
      <c r="D595" s="23"/>
      <c r="E595" s="23"/>
      <c r="F595" s="24"/>
      <c r="G595" s="25"/>
      <c r="H595" s="25"/>
      <c r="I595" s="25"/>
      <c r="J595" s="25"/>
      <c r="K595" s="25"/>
      <c r="L595" s="24"/>
      <c r="M595" s="1"/>
    </row>
    <row r="596" ht="24.75" customHeight="1">
      <c r="A596" s="1"/>
      <c r="B596" s="22"/>
      <c r="C596" s="23"/>
      <c r="D596" s="23"/>
      <c r="E596" s="23"/>
      <c r="F596" s="24"/>
      <c r="G596" s="25"/>
      <c r="H596" s="25"/>
      <c r="I596" s="25"/>
      <c r="J596" s="25"/>
      <c r="K596" s="25"/>
      <c r="L596" s="24"/>
      <c r="M596" s="1"/>
    </row>
    <row r="597" ht="24.75" customHeight="1">
      <c r="A597" s="1"/>
      <c r="B597" s="22"/>
      <c r="C597" s="23"/>
      <c r="D597" s="23"/>
      <c r="E597" s="23"/>
      <c r="F597" s="24"/>
      <c r="G597" s="25"/>
      <c r="H597" s="25"/>
      <c r="I597" s="25"/>
      <c r="J597" s="25"/>
      <c r="K597" s="25"/>
      <c r="L597" s="24"/>
      <c r="M597" s="1"/>
    </row>
    <row r="598" ht="24.75" customHeight="1">
      <c r="A598" s="1"/>
      <c r="B598" s="22"/>
      <c r="C598" s="23"/>
      <c r="D598" s="23"/>
      <c r="E598" s="23"/>
      <c r="F598" s="24"/>
      <c r="G598" s="25"/>
      <c r="H598" s="25"/>
      <c r="I598" s="25"/>
      <c r="J598" s="25"/>
      <c r="K598" s="25"/>
      <c r="L598" s="24"/>
      <c r="M598" s="1"/>
    </row>
    <row r="599" ht="24.75" customHeight="1">
      <c r="A599" s="1"/>
      <c r="B599" s="22"/>
      <c r="C599" s="23"/>
      <c r="D599" s="23"/>
      <c r="E599" s="23"/>
      <c r="F599" s="24"/>
      <c r="G599" s="25"/>
      <c r="H599" s="25"/>
      <c r="I599" s="25"/>
      <c r="J599" s="25"/>
      <c r="K599" s="25"/>
      <c r="L599" s="24"/>
      <c r="M599" s="1"/>
    </row>
    <row r="600" ht="24.75" customHeight="1">
      <c r="A600" s="1"/>
      <c r="B600" s="22"/>
      <c r="C600" s="23"/>
      <c r="D600" s="23"/>
      <c r="E600" s="23"/>
      <c r="F600" s="24"/>
      <c r="G600" s="25"/>
      <c r="H600" s="25"/>
      <c r="I600" s="25"/>
      <c r="J600" s="25"/>
      <c r="K600" s="25"/>
      <c r="L600" s="24"/>
      <c r="M600" s="1"/>
    </row>
    <row r="601" ht="24.75" customHeight="1">
      <c r="A601" s="1"/>
      <c r="B601" s="22"/>
      <c r="C601" s="23"/>
      <c r="D601" s="23"/>
      <c r="E601" s="23"/>
      <c r="F601" s="24"/>
      <c r="G601" s="25"/>
      <c r="H601" s="25"/>
      <c r="I601" s="25"/>
      <c r="J601" s="25"/>
      <c r="K601" s="25"/>
      <c r="L601" s="24"/>
      <c r="M601" s="1"/>
    </row>
    <row r="602" ht="24.75" customHeight="1">
      <c r="A602" s="1"/>
      <c r="B602" s="22"/>
      <c r="C602" s="23"/>
      <c r="D602" s="23"/>
      <c r="E602" s="23"/>
      <c r="F602" s="24"/>
      <c r="G602" s="25"/>
      <c r="H602" s="25"/>
      <c r="I602" s="25"/>
      <c r="J602" s="25"/>
      <c r="K602" s="25"/>
      <c r="L602" s="24"/>
      <c r="M602" s="1"/>
    </row>
    <row r="603" ht="24.75" customHeight="1">
      <c r="A603" s="1"/>
      <c r="B603" s="22"/>
      <c r="C603" s="23"/>
      <c r="D603" s="23"/>
      <c r="E603" s="23"/>
      <c r="F603" s="24"/>
      <c r="G603" s="25"/>
      <c r="H603" s="25"/>
      <c r="I603" s="25"/>
      <c r="J603" s="25"/>
      <c r="K603" s="25"/>
      <c r="L603" s="24"/>
      <c r="M603" s="1"/>
    </row>
    <row r="604" ht="24.75" customHeight="1">
      <c r="A604" s="1"/>
      <c r="B604" s="22"/>
      <c r="C604" s="23"/>
      <c r="D604" s="23"/>
      <c r="E604" s="23"/>
      <c r="F604" s="24"/>
      <c r="G604" s="25"/>
      <c r="H604" s="25"/>
      <c r="I604" s="25"/>
      <c r="J604" s="25"/>
      <c r="K604" s="25"/>
      <c r="L604" s="24"/>
      <c r="M604" s="1"/>
    </row>
    <row r="605" ht="24.75" customHeight="1">
      <c r="A605" s="1"/>
      <c r="B605" s="22"/>
      <c r="C605" s="23"/>
      <c r="D605" s="23"/>
      <c r="E605" s="23"/>
      <c r="F605" s="24"/>
      <c r="G605" s="25"/>
      <c r="H605" s="25"/>
      <c r="I605" s="25"/>
      <c r="J605" s="25"/>
      <c r="K605" s="25"/>
      <c r="L605" s="24"/>
      <c r="M605" s="1"/>
    </row>
    <row r="606" ht="24.75" customHeight="1">
      <c r="A606" s="1"/>
      <c r="B606" s="22"/>
      <c r="C606" s="23"/>
      <c r="D606" s="23"/>
      <c r="E606" s="23"/>
      <c r="F606" s="24"/>
      <c r="G606" s="25"/>
      <c r="H606" s="25"/>
      <c r="I606" s="25"/>
      <c r="J606" s="25"/>
      <c r="K606" s="25"/>
      <c r="L606" s="24"/>
      <c r="M606" s="1"/>
    </row>
    <row r="607" ht="24.75" customHeight="1">
      <c r="A607" s="1"/>
      <c r="B607" s="22"/>
      <c r="C607" s="23"/>
      <c r="D607" s="23"/>
      <c r="E607" s="23"/>
      <c r="F607" s="24"/>
      <c r="G607" s="25"/>
      <c r="H607" s="25"/>
      <c r="I607" s="25"/>
      <c r="J607" s="25"/>
      <c r="K607" s="25"/>
      <c r="L607" s="24"/>
      <c r="M607" s="1"/>
    </row>
    <row r="608" ht="24.75" customHeight="1">
      <c r="A608" s="1"/>
      <c r="B608" s="22"/>
      <c r="C608" s="23"/>
      <c r="D608" s="23"/>
      <c r="E608" s="23"/>
      <c r="F608" s="24"/>
      <c r="G608" s="25"/>
      <c r="H608" s="25"/>
      <c r="I608" s="25"/>
      <c r="J608" s="25"/>
      <c r="K608" s="25"/>
      <c r="L608" s="24"/>
      <c r="M608" s="1"/>
    </row>
    <row r="609" ht="24.75" customHeight="1">
      <c r="A609" s="1"/>
      <c r="B609" s="22"/>
      <c r="C609" s="23"/>
      <c r="D609" s="23"/>
      <c r="E609" s="23"/>
      <c r="F609" s="24"/>
      <c r="G609" s="25"/>
      <c r="H609" s="25"/>
      <c r="I609" s="25"/>
      <c r="J609" s="25"/>
      <c r="K609" s="25"/>
      <c r="L609" s="24"/>
      <c r="M609" s="1"/>
    </row>
    <row r="610" ht="24.75" customHeight="1">
      <c r="A610" s="1"/>
      <c r="B610" s="22"/>
      <c r="C610" s="23"/>
      <c r="D610" s="23"/>
      <c r="E610" s="23"/>
      <c r="F610" s="24"/>
      <c r="G610" s="25"/>
      <c r="H610" s="25"/>
      <c r="I610" s="25"/>
      <c r="J610" s="25"/>
      <c r="K610" s="25"/>
      <c r="L610" s="24"/>
      <c r="M610" s="1"/>
    </row>
    <row r="611" ht="24.75" customHeight="1">
      <c r="A611" s="1"/>
      <c r="B611" s="22"/>
      <c r="C611" s="23"/>
      <c r="D611" s="23"/>
      <c r="E611" s="23"/>
      <c r="F611" s="24"/>
      <c r="G611" s="25"/>
      <c r="H611" s="25"/>
      <c r="I611" s="25"/>
      <c r="J611" s="25"/>
      <c r="K611" s="25"/>
      <c r="L611" s="24"/>
      <c r="M611" s="1"/>
    </row>
    <row r="612" ht="24.75" customHeight="1">
      <c r="A612" s="1"/>
      <c r="B612" s="22"/>
      <c r="C612" s="23"/>
      <c r="D612" s="23"/>
      <c r="E612" s="23"/>
      <c r="F612" s="24"/>
      <c r="G612" s="25"/>
      <c r="H612" s="25"/>
      <c r="I612" s="25"/>
      <c r="J612" s="25"/>
      <c r="K612" s="25"/>
      <c r="L612" s="24"/>
      <c r="M612" s="1"/>
    </row>
    <row r="613" ht="24.75" customHeight="1">
      <c r="A613" s="1"/>
      <c r="B613" s="22"/>
      <c r="C613" s="23"/>
      <c r="D613" s="23"/>
      <c r="E613" s="23"/>
      <c r="F613" s="24"/>
      <c r="G613" s="25"/>
      <c r="H613" s="25"/>
      <c r="I613" s="25"/>
      <c r="J613" s="25"/>
      <c r="K613" s="25"/>
      <c r="L613" s="24"/>
      <c r="M613" s="1"/>
    </row>
    <row r="614" ht="24.75" customHeight="1">
      <c r="A614" s="1"/>
      <c r="B614" s="22"/>
      <c r="C614" s="23"/>
      <c r="D614" s="23"/>
      <c r="E614" s="23"/>
      <c r="F614" s="24"/>
      <c r="G614" s="25"/>
      <c r="H614" s="25"/>
      <c r="I614" s="25"/>
      <c r="J614" s="25"/>
      <c r="K614" s="25"/>
      <c r="L614" s="24"/>
      <c r="M614" s="1"/>
    </row>
    <row r="615" ht="24.75" customHeight="1">
      <c r="A615" s="1"/>
      <c r="B615" s="22"/>
      <c r="C615" s="23"/>
      <c r="D615" s="23"/>
      <c r="E615" s="23"/>
      <c r="F615" s="24"/>
      <c r="G615" s="25"/>
      <c r="H615" s="25"/>
      <c r="I615" s="25"/>
      <c r="J615" s="25"/>
      <c r="K615" s="25"/>
      <c r="L615" s="24"/>
      <c r="M615" s="1"/>
    </row>
    <row r="616" ht="24.75" customHeight="1">
      <c r="A616" s="1"/>
      <c r="B616" s="22"/>
      <c r="C616" s="23"/>
      <c r="D616" s="23"/>
      <c r="E616" s="23"/>
      <c r="F616" s="24"/>
      <c r="G616" s="25"/>
      <c r="H616" s="25"/>
      <c r="I616" s="25"/>
      <c r="J616" s="25"/>
      <c r="K616" s="25"/>
      <c r="L616" s="24"/>
      <c r="M616" s="1"/>
    </row>
    <row r="617" ht="24.75" customHeight="1">
      <c r="A617" s="1"/>
      <c r="B617" s="22"/>
      <c r="C617" s="23"/>
      <c r="D617" s="23"/>
      <c r="E617" s="23"/>
      <c r="F617" s="24"/>
      <c r="G617" s="25"/>
      <c r="H617" s="25"/>
      <c r="I617" s="25"/>
      <c r="J617" s="25"/>
      <c r="K617" s="25"/>
      <c r="L617" s="24"/>
      <c r="M617" s="1"/>
    </row>
    <row r="618" ht="24.75" customHeight="1">
      <c r="A618" s="1"/>
      <c r="B618" s="22"/>
      <c r="C618" s="23"/>
      <c r="D618" s="23"/>
      <c r="E618" s="23"/>
      <c r="F618" s="24"/>
      <c r="G618" s="25"/>
      <c r="H618" s="25"/>
      <c r="I618" s="25"/>
      <c r="J618" s="25"/>
      <c r="K618" s="25"/>
      <c r="L618" s="24"/>
      <c r="M618" s="1"/>
    </row>
    <row r="619" ht="24.75" customHeight="1">
      <c r="A619" s="1"/>
      <c r="B619" s="22"/>
      <c r="C619" s="23"/>
      <c r="D619" s="23"/>
      <c r="E619" s="23"/>
      <c r="F619" s="24"/>
      <c r="G619" s="25"/>
      <c r="H619" s="25"/>
      <c r="I619" s="25"/>
      <c r="J619" s="25"/>
      <c r="K619" s="25"/>
      <c r="L619" s="24"/>
      <c r="M619" s="1"/>
    </row>
    <row r="620" ht="24.75" customHeight="1">
      <c r="A620" s="1"/>
      <c r="B620" s="22"/>
      <c r="C620" s="23"/>
      <c r="D620" s="23"/>
      <c r="E620" s="23"/>
      <c r="F620" s="24"/>
      <c r="G620" s="25"/>
      <c r="H620" s="25"/>
      <c r="I620" s="25"/>
      <c r="J620" s="25"/>
      <c r="K620" s="25"/>
      <c r="L620" s="24"/>
      <c r="M620" s="1"/>
    </row>
    <row r="621" ht="24.75" customHeight="1">
      <c r="A621" s="1"/>
      <c r="B621" s="22"/>
      <c r="C621" s="23"/>
      <c r="D621" s="23"/>
      <c r="E621" s="23"/>
      <c r="F621" s="24"/>
      <c r="G621" s="25"/>
      <c r="H621" s="25"/>
      <c r="I621" s="25"/>
      <c r="J621" s="25"/>
      <c r="K621" s="25"/>
      <c r="L621" s="24"/>
      <c r="M621" s="1"/>
    </row>
    <row r="622" ht="24.75" customHeight="1">
      <c r="A622" s="1"/>
      <c r="B622" s="22"/>
      <c r="C622" s="23"/>
      <c r="D622" s="23"/>
      <c r="E622" s="23"/>
      <c r="F622" s="24"/>
      <c r="G622" s="25"/>
      <c r="H622" s="25"/>
      <c r="I622" s="25"/>
      <c r="J622" s="25"/>
      <c r="K622" s="25"/>
      <c r="L622" s="24"/>
      <c r="M622" s="1"/>
    </row>
    <row r="623" ht="24.75" customHeight="1">
      <c r="A623" s="1"/>
      <c r="B623" s="22"/>
      <c r="C623" s="23"/>
      <c r="D623" s="23"/>
      <c r="E623" s="23"/>
      <c r="F623" s="24"/>
      <c r="G623" s="25"/>
      <c r="H623" s="25"/>
      <c r="I623" s="25"/>
      <c r="J623" s="25"/>
      <c r="K623" s="25"/>
      <c r="L623" s="24"/>
      <c r="M623" s="1"/>
    </row>
    <row r="624" ht="24.75" customHeight="1">
      <c r="A624" s="1"/>
      <c r="B624" s="22"/>
      <c r="C624" s="23"/>
      <c r="D624" s="23"/>
      <c r="E624" s="23"/>
      <c r="F624" s="24"/>
      <c r="G624" s="25"/>
      <c r="H624" s="25"/>
      <c r="I624" s="25"/>
      <c r="J624" s="25"/>
      <c r="K624" s="25"/>
      <c r="L624" s="24"/>
      <c r="M624" s="1"/>
    </row>
    <row r="625" ht="24.75" customHeight="1">
      <c r="A625" s="1"/>
      <c r="B625" s="22"/>
      <c r="C625" s="23"/>
      <c r="D625" s="23"/>
      <c r="E625" s="23"/>
      <c r="F625" s="24"/>
      <c r="G625" s="25"/>
      <c r="H625" s="25"/>
      <c r="I625" s="25"/>
      <c r="J625" s="25"/>
      <c r="K625" s="25"/>
      <c r="L625" s="24"/>
      <c r="M625" s="1"/>
    </row>
    <row r="626" ht="24.75" customHeight="1">
      <c r="A626" s="1"/>
      <c r="B626" s="22"/>
      <c r="C626" s="23"/>
      <c r="D626" s="23"/>
      <c r="E626" s="23"/>
      <c r="F626" s="24"/>
      <c r="G626" s="25"/>
      <c r="H626" s="25"/>
      <c r="I626" s="25"/>
      <c r="J626" s="25"/>
      <c r="K626" s="25"/>
      <c r="L626" s="24"/>
      <c r="M626" s="1"/>
    </row>
    <row r="627" ht="24.75" customHeight="1">
      <c r="A627" s="1"/>
      <c r="B627" s="22"/>
      <c r="C627" s="23"/>
      <c r="D627" s="23"/>
      <c r="E627" s="23"/>
      <c r="F627" s="24"/>
      <c r="G627" s="25"/>
      <c r="H627" s="25"/>
      <c r="I627" s="25"/>
      <c r="J627" s="25"/>
      <c r="K627" s="25"/>
      <c r="L627" s="24"/>
      <c r="M627" s="1"/>
    </row>
    <row r="628" ht="24.75" customHeight="1">
      <c r="A628" s="1"/>
      <c r="B628" s="22"/>
      <c r="C628" s="23"/>
      <c r="D628" s="23"/>
      <c r="E628" s="23"/>
      <c r="F628" s="24"/>
      <c r="G628" s="25"/>
      <c r="H628" s="25"/>
      <c r="I628" s="25"/>
      <c r="J628" s="25"/>
      <c r="K628" s="25"/>
      <c r="L628" s="24"/>
      <c r="M628" s="1"/>
    </row>
    <row r="629" ht="24.75" customHeight="1">
      <c r="A629" s="1"/>
      <c r="B629" s="22"/>
      <c r="C629" s="23"/>
      <c r="D629" s="23"/>
      <c r="E629" s="23"/>
      <c r="F629" s="24"/>
      <c r="G629" s="25"/>
      <c r="H629" s="25"/>
      <c r="I629" s="25"/>
      <c r="J629" s="25"/>
      <c r="K629" s="25"/>
      <c r="L629" s="24"/>
      <c r="M629" s="1"/>
    </row>
    <row r="630" ht="24.75" customHeight="1">
      <c r="A630" s="1"/>
      <c r="B630" s="22"/>
      <c r="C630" s="23"/>
      <c r="D630" s="23"/>
      <c r="E630" s="23"/>
      <c r="F630" s="24"/>
      <c r="G630" s="25"/>
      <c r="H630" s="25"/>
      <c r="I630" s="25"/>
      <c r="J630" s="25"/>
      <c r="K630" s="25"/>
      <c r="L630" s="24"/>
      <c r="M630" s="1"/>
    </row>
    <row r="631" ht="24.75" customHeight="1">
      <c r="A631" s="1"/>
      <c r="B631" s="22"/>
      <c r="C631" s="23"/>
      <c r="D631" s="23"/>
      <c r="E631" s="23"/>
      <c r="F631" s="24"/>
      <c r="G631" s="25"/>
      <c r="H631" s="25"/>
      <c r="I631" s="25"/>
      <c r="J631" s="25"/>
      <c r="K631" s="25"/>
      <c r="L631" s="24"/>
      <c r="M631" s="1"/>
    </row>
    <row r="632" ht="24.75" customHeight="1">
      <c r="A632" s="1"/>
      <c r="B632" s="22"/>
      <c r="C632" s="23"/>
      <c r="D632" s="23"/>
      <c r="E632" s="23"/>
      <c r="F632" s="24"/>
      <c r="G632" s="25"/>
      <c r="H632" s="25"/>
      <c r="I632" s="25"/>
      <c r="J632" s="25"/>
      <c r="K632" s="25"/>
      <c r="L632" s="24"/>
      <c r="M632" s="1"/>
    </row>
    <row r="633" ht="24.75" customHeight="1">
      <c r="A633" s="1"/>
      <c r="B633" s="22"/>
      <c r="C633" s="23"/>
      <c r="D633" s="23"/>
      <c r="E633" s="23"/>
      <c r="F633" s="24"/>
      <c r="G633" s="25"/>
      <c r="H633" s="25"/>
      <c r="I633" s="25"/>
      <c r="J633" s="25"/>
      <c r="K633" s="25"/>
      <c r="L633" s="24"/>
      <c r="M633" s="1"/>
    </row>
    <row r="634" ht="24.75" customHeight="1">
      <c r="A634" s="1"/>
      <c r="B634" s="22"/>
      <c r="C634" s="23"/>
      <c r="D634" s="23"/>
      <c r="E634" s="23"/>
      <c r="F634" s="24"/>
      <c r="G634" s="25"/>
      <c r="H634" s="25"/>
      <c r="I634" s="25"/>
      <c r="J634" s="25"/>
      <c r="K634" s="25"/>
      <c r="L634" s="24"/>
      <c r="M634" s="1"/>
    </row>
    <row r="635" ht="24.75" customHeight="1">
      <c r="A635" s="1"/>
      <c r="B635" s="22"/>
      <c r="C635" s="23"/>
      <c r="D635" s="23"/>
      <c r="E635" s="23"/>
      <c r="F635" s="24"/>
      <c r="G635" s="25"/>
      <c r="H635" s="25"/>
      <c r="I635" s="25"/>
      <c r="J635" s="25"/>
      <c r="K635" s="25"/>
      <c r="L635" s="24"/>
      <c r="M635" s="1"/>
    </row>
    <row r="636" ht="24.75" customHeight="1">
      <c r="A636" s="1"/>
      <c r="B636" s="22"/>
      <c r="C636" s="23"/>
      <c r="D636" s="23"/>
      <c r="E636" s="23"/>
      <c r="F636" s="24"/>
      <c r="G636" s="25"/>
      <c r="H636" s="25"/>
      <c r="I636" s="25"/>
      <c r="J636" s="25"/>
      <c r="K636" s="25"/>
      <c r="L636" s="24"/>
      <c r="M636" s="1"/>
    </row>
    <row r="637" ht="24.75" customHeight="1">
      <c r="A637" s="1"/>
      <c r="B637" s="22"/>
      <c r="C637" s="23"/>
      <c r="D637" s="23"/>
      <c r="E637" s="23"/>
      <c r="F637" s="24"/>
      <c r="G637" s="25"/>
      <c r="H637" s="25"/>
      <c r="I637" s="25"/>
      <c r="J637" s="25"/>
      <c r="K637" s="25"/>
      <c r="L637" s="24"/>
      <c r="M637" s="1"/>
    </row>
    <row r="638" ht="24.75" customHeight="1">
      <c r="A638" s="1"/>
      <c r="B638" s="22"/>
      <c r="C638" s="23"/>
      <c r="D638" s="23"/>
      <c r="E638" s="23"/>
      <c r="F638" s="24"/>
      <c r="G638" s="25"/>
      <c r="H638" s="25"/>
      <c r="I638" s="25"/>
      <c r="J638" s="25"/>
      <c r="K638" s="25"/>
      <c r="L638" s="24"/>
      <c r="M638" s="1"/>
    </row>
    <row r="639" ht="24.75" customHeight="1">
      <c r="A639" s="1"/>
      <c r="B639" s="22"/>
      <c r="C639" s="23"/>
      <c r="D639" s="23"/>
      <c r="E639" s="23"/>
      <c r="F639" s="24"/>
      <c r="G639" s="25"/>
      <c r="H639" s="25"/>
      <c r="I639" s="25"/>
      <c r="J639" s="25"/>
      <c r="K639" s="25"/>
      <c r="L639" s="24"/>
      <c r="M639" s="1"/>
    </row>
    <row r="640" ht="24.75" customHeight="1">
      <c r="A640" s="1"/>
      <c r="B640" s="22"/>
      <c r="C640" s="23"/>
      <c r="D640" s="23"/>
      <c r="E640" s="23"/>
      <c r="F640" s="24"/>
      <c r="G640" s="25"/>
      <c r="H640" s="25"/>
      <c r="I640" s="25"/>
      <c r="J640" s="25"/>
      <c r="K640" s="25"/>
      <c r="L640" s="24"/>
      <c r="M640" s="1"/>
    </row>
    <row r="641" ht="24.75" customHeight="1">
      <c r="A641" s="1"/>
      <c r="B641" s="22"/>
      <c r="C641" s="23"/>
      <c r="D641" s="23"/>
      <c r="E641" s="23"/>
      <c r="F641" s="24"/>
      <c r="G641" s="25"/>
      <c r="H641" s="25"/>
      <c r="I641" s="25"/>
      <c r="J641" s="25"/>
      <c r="K641" s="25"/>
      <c r="L641" s="24"/>
      <c r="M641" s="1"/>
    </row>
    <row r="642" ht="24.75" customHeight="1">
      <c r="A642" s="1"/>
      <c r="B642" s="22"/>
      <c r="C642" s="23"/>
      <c r="D642" s="23"/>
      <c r="E642" s="23"/>
      <c r="F642" s="24"/>
      <c r="G642" s="25"/>
      <c r="H642" s="25"/>
      <c r="I642" s="25"/>
      <c r="J642" s="25"/>
      <c r="K642" s="25"/>
      <c r="L642" s="24"/>
      <c r="M642" s="1"/>
    </row>
    <row r="643" ht="24.75" customHeight="1">
      <c r="A643" s="1"/>
      <c r="B643" s="22"/>
      <c r="C643" s="23"/>
      <c r="D643" s="23"/>
      <c r="E643" s="23"/>
      <c r="F643" s="24"/>
      <c r="G643" s="25"/>
      <c r="H643" s="25"/>
      <c r="I643" s="25"/>
      <c r="J643" s="25"/>
      <c r="K643" s="25"/>
      <c r="L643" s="24"/>
      <c r="M643" s="1"/>
    </row>
    <row r="644" ht="24.75" customHeight="1">
      <c r="A644" s="1"/>
      <c r="B644" s="22"/>
      <c r="C644" s="23"/>
      <c r="D644" s="23"/>
      <c r="E644" s="23"/>
      <c r="F644" s="24"/>
      <c r="G644" s="25"/>
      <c r="H644" s="25"/>
      <c r="I644" s="25"/>
      <c r="J644" s="25"/>
      <c r="K644" s="25"/>
      <c r="L644" s="24"/>
      <c r="M644" s="1"/>
    </row>
    <row r="645" ht="24.75" customHeight="1">
      <c r="A645" s="1"/>
      <c r="B645" s="22"/>
      <c r="C645" s="23"/>
      <c r="D645" s="23"/>
      <c r="E645" s="23"/>
      <c r="F645" s="24"/>
      <c r="G645" s="25"/>
      <c r="H645" s="25"/>
      <c r="I645" s="25"/>
      <c r="J645" s="25"/>
      <c r="K645" s="25"/>
      <c r="L645" s="24"/>
      <c r="M645" s="1"/>
    </row>
    <row r="646" ht="24.75" customHeight="1">
      <c r="A646" s="1"/>
      <c r="B646" s="22"/>
      <c r="C646" s="23"/>
      <c r="D646" s="23"/>
      <c r="E646" s="23"/>
      <c r="F646" s="24"/>
      <c r="G646" s="25"/>
      <c r="H646" s="25"/>
      <c r="I646" s="25"/>
      <c r="J646" s="25"/>
      <c r="K646" s="25"/>
      <c r="L646" s="24"/>
      <c r="M646" s="1"/>
    </row>
    <row r="647" ht="24.75" customHeight="1">
      <c r="A647" s="1"/>
      <c r="B647" s="22"/>
      <c r="C647" s="23"/>
      <c r="D647" s="23"/>
      <c r="E647" s="23"/>
      <c r="F647" s="24"/>
      <c r="G647" s="25"/>
      <c r="H647" s="25"/>
      <c r="I647" s="25"/>
      <c r="J647" s="25"/>
      <c r="K647" s="25"/>
      <c r="L647" s="24"/>
      <c r="M647" s="1"/>
    </row>
    <row r="648" ht="24.75" customHeight="1">
      <c r="A648" s="1"/>
      <c r="B648" s="22"/>
      <c r="C648" s="23"/>
      <c r="D648" s="23"/>
      <c r="E648" s="23"/>
      <c r="F648" s="24"/>
      <c r="G648" s="25"/>
      <c r="H648" s="25"/>
      <c r="I648" s="25"/>
      <c r="J648" s="25"/>
      <c r="K648" s="25"/>
      <c r="L648" s="24"/>
      <c r="M648" s="1"/>
    </row>
    <row r="649" ht="24.75" customHeight="1">
      <c r="A649" s="1"/>
      <c r="B649" s="22"/>
      <c r="C649" s="23"/>
      <c r="D649" s="23"/>
      <c r="E649" s="23"/>
      <c r="F649" s="24"/>
      <c r="G649" s="25"/>
      <c r="H649" s="25"/>
      <c r="I649" s="25"/>
      <c r="J649" s="25"/>
      <c r="K649" s="25"/>
      <c r="L649" s="24"/>
      <c r="M649" s="1"/>
    </row>
    <row r="650" ht="24.75" customHeight="1">
      <c r="A650" s="1"/>
      <c r="B650" s="22"/>
      <c r="C650" s="23"/>
      <c r="D650" s="23"/>
      <c r="E650" s="23"/>
      <c r="F650" s="24"/>
      <c r="G650" s="25"/>
      <c r="H650" s="25"/>
      <c r="I650" s="25"/>
      <c r="J650" s="25"/>
      <c r="K650" s="25"/>
      <c r="L650" s="24"/>
      <c r="M650" s="1"/>
    </row>
    <row r="651" ht="24.75" customHeight="1">
      <c r="A651" s="1"/>
      <c r="B651" s="22"/>
      <c r="C651" s="23"/>
      <c r="D651" s="23"/>
      <c r="E651" s="23"/>
      <c r="F651" s="24"/>
      <c r="G651" s="25"/>
      <c r="H651" s="25"/>
      <c r="I651" s="25"/>
      <c r="J651" s="25"/>
      <c r="K651" s="25"/>
      <c r="L651" s="24"/>
      <c r="M651" s="1"/>
    </row>
    <row r="652" ht="24.75" customHeight="1">
      <c r="A652" s="1"/>
      <c r="B652" s="22"/>
      <c r="C652" s="23"/>
      <c r="D652" s="23"/>
      <c r="E652" s="23"/>
      <c r="F652" s="24"/>
      <c r="G652" s="25"/>
      <c r="H652" s="25"/>
      <c r="I652" s="25"/>
      <c r="J652" s="25"/>
      <c r="K652" s="25"/>
      <c r="L652" s="24"/>
      <c r="M652" s="1"/>
    </row>
    <row r="653" ht="24.75" customHeight="1">
      <c r="A653" s="1"/>
      <c r="B653" s="22"/>
      <c r="C653" s="23"/>
      <c r="D653" s="23"/>
      <c r="E653" s="23"/>
      <c r="F653" s="24"/>
      <c r="G653" s="25"/>
      <c r="H653" s="25"/>
      <c r="I653" s="25"/>
      <c r="J653" s="25"/>
      <c r="K653" s="25"/>
      <c r="L653" s="24"/>
      <c r="M653" s="1"/>
    </row>
    <row r="654" ht="24.75" customHeight="1">
      <c r="A654" s="1"/>
      <c r="B654" s="22"/>
      <c r="C654" s="23"/>
      <c r="D654" s="23"/>
      <c r="E654" s="23"/>
      <c r="F654" s="24"/>
      <c r="G654" s="25"/>
      <c r="H654" s="25"/>
      <c r="I654" s="25"/>
      <c r="J654" s="25"/>
      <c r="K654" s="25"/>
      <c r="L654" s="24"/>
      <c r="M654" s="1"/>
    </row>
    <row r="655" ht="24.75" customHeight="1">
      <c r="A655" s="1"/>
      <c r="B655" s="22"/>
      <c r="C655" s="23"/>
      <c r="D655" s="23"/>
      <c r="E655" s="23"/>
      <c r="F655" s="24"/>
      <c r="G655" s="25"/>
      <c r="H655" s="25"/>
      <c r="I655" s="25"/>
      <c r="J655" s="25"/>
      <c r="K655" s="25"/>
      <c r="L655" s="24"/>
      <c r="M655" s="1"/>
    </row>
    <row r="656" ht="24.75" customHeight="1">
      <c r="A656" s="1"/>
      <c r="B656" s="22"/>
      <c r="C656" s="23"/>
      <c r="D656" s="23"/>
      <c r="E656" s="23"/>
      <c r="F656" s="24"/>
      <c r="G656" s="25"/>
      <c r="H656" s="25"/>
      <c r="I656" s="25"/>
      <c r="J656" s="25"/>
      <c r="K656" s="25"/>
      <c r="L656" s="24"/>
      <c r="M656" s="1"/>
    </row>
    <row r="657" ht="24.75" customHeight="1">
      <c r="A657" s="1"/>
      <c r="B657" s="22"/>
      <c r="C657" s="23"/>
      <c r="D657" s="23"/>
      <c r="E657" s="23"/>
      <c r="F657" s="24"/>
      <c r="G657" s="25"/>
      <c r="H657" s="25"/>
      <c r="I657" s="25"/>
      <c r="J657" s="25"/>
      <c r="K657" s="25"/>
      <c r="L657" s="24"/>
      <c r="M657" s="1"/>
    </row>
    <row r="658" ht="24.75" customHeight="1">
      <c r="A658" s="1"/>
      <c r="B658" s="22"/>
      <c r="C658" s="23"/>
      <c r="D658" s="23"/>
      <c r="E658" s="23"/>
      <c r="F658" s="24"/>
      <c r="G658" s="25"/>
      <c r="H658" s="25"/>
      <c r="I658" s="25"/>
      <c r="J658" s="25"/>
      <c r="K658" s="25"/>
      <c r="L658" s="24"/>
      <c r="M658" s="1"/>
    </row>
    <row r="659" ht="24.75" customHeight="1">
      <c r="A659" s="1"/>
      <c r="B659" s="22"/>
      <c r="C659" s="23"/>
      <c r="D659" s="23"/>
      <c r="E659" s="23"/>
      <c r="F659" s="24"/>
      <c r="G659" s="25"/>
      <c r="H659" s="25"/>
      <c r="I659" s="25"/>
      <c r="J659" s="25"/>
      <c r="K659" s="25"/>
      <c r="L659" s="24"/>
      <c r="M659" s="1"/>
    </row>
    <row r="660" ht="24.75" customHeight="1">
      <c r="A660" s="1"/>
      <c r="B660" s="22"/>
      <c r="C660" s="23"/>
      <c r="D660" s="23"/>
      <c r="E660" s="23"/>
      <c r="F660" s="24"/>
      <c r="G660" s="25"/>
      <c r="H660" s="25"/>
      <c r="I660" s="25"/>
      <c r="J660" s="25"/>
      <c r="K660" s="25"/>
      <c r="L660" s="24"/>
      <c r="M660" s="1"/>
    </row>
    <row r="661" ht="24.75" customHeight="1">
      <c r="A661" s="1"/>
      <c r="B661" s="22"/>
      <c r="C661" s="23"/>
      <c r="D661" s="23"/>
      <c r="E661" s="23"/>
      <c r="F661" s="24"/>
      <c r="G661" s="25"/>
      <c r="H661" s="25"/>
      <c r="I661" s="25"/>
      <c r="J661" s="25"/>
      <c r="K661" s="25"/>
      <c r="L661" s="24"/>
      <c r="M661" s="1"/>
    </row>
    <row r="662" ht="24.75" customHeight="1">
      <c r="A662" s="1"/>
      <c r="B662" s="22"/>
      <c r="C662" s="23"/>
      <c r="D662" s="23"/>
      <c r="E662" s="23"/>
      <c r="F662" s="24"/>
      <c r="G662" s="25"/>
      <c r="H662" s="25"/>
      <c r="I662" s="25"/>
      <c r="J662" s="25"/>
      <c r="K662" s="25"/>
      <c r="L662" s="24"/>
      <c r="M662" s="1"/>
    </row>
    <row r="663" ht="24.75" customHeight="1">
      <c r="A663" s="1"/>
      <c r="B663" s="22"/>
      <c r="C663" s="23"/>
      <c r="D663" s="23"/>
      <c r="E663" s="23"/>
      <c r="F663" s="24"/>
      <c r="G663" s="25"/>
      <c r="H663" s="25"/>
      <c r="I663" s="25"/>
      <c r="J663" s="25"/>
      <c r="K663" s="25"/>
      <c r="L663" s="24"/>
      <c r="M663" s="1"/>
    </row>
    <row r="664" ht="24.75" customHeight="1">
      <c r="A664" s="1"/>
      <c r="B664" s="22"/>
      <c r="C664" s="23"/>
      <c r="D664" s="23"/>
      <c r="E664" s="23"/>
      <c r="F664" s="24"/>
      <c r="G664" s="25"/>
      <c r="H664" s="25"/>
      <c r="I664" s="25"/>
      <c r="J664" s="25"/>
      <c r="K664" s="25"/>
      <c r="L664" s="24"/>
      <c r="M664" s="1"/>
    </row>
    <row r="665" ht="24.75" customHeight="1">
      <c r="A665" s="1"/>
      <c r="B665" s="22"/>
      <c r="C665" s="23"/>
      <c r="D665" s="23"/>
      <c r="E665" s="23"/>
      <c r="F665" s="24"/>
      <c r="G665" s="25"/>
      <c r="H665" s="25"/>
      <c r="I665" s="25"/>
      <c r="J665" s="25"/>
      <c r="K665" s="25"/>
      <c r="L665" s="24"/>
      <c r="M665" s="1"/>
    </row>
    <row r="666" ht="24.75" customHeight="1">
      <c r="A666" s="1"/>
      <c r="B666" s="22"/>
      <c r="C666" s="23"/>
      <c r="D666" s="23"/>
      <c r="E666" s="23"/>
      <c r="F666" s="24"/>
      <c r="G666" s="25"/>
      <c r="H666" s="25"/>
      <c r="I666" s="25"/>
      <c r="J666" s="25"/>
      <c r="K666" s="25"/>
      <c r="L666" s="24"/>
      <c r="M666" s="1"/>
    </row>
    <row r="667" ht="24.75" customHeight="1">
      <c r="A667" s="1"/>
      <c r="B667" s="22"/>
      <c r="C667" s="23"/>
      <c r="D667" s="23"/>
      <c r="E667" s="23"/>
      <c r="F667" s="24"/>
      <c r="G667" s="25"/>
      <c r="H667" s="25"/>
      <c r="I667" s="25"/>
      <c r="J667" s="25"/>
      <c r="K667" s="25"/>
      <c r="L667" s="24"/>
      <c r="M667" s="1"/>
    </row>
    <row r="668" ht="24.75" customHeight="1">
      <c r="A668" s="1"/>
      <c r="B668" s="22"/>
      <c r="C668" s="23"/>
      <c r="D668" s="23"/>
      <c r="E668" s="23"/>
      <c r="F668" s="24"/>
      <c r="G668" s="25"/>
      <c r="H668" s="25"/>
      <c r="I668" s="25"/>
      <c r="J668" s="25"/>
      <c r="K668" s="25"/>
      <c r="L668" s="24"/>
      <c r="M668" s="1"/>
    </row>
    <row r="669" ht="24.75" customHeight="1">
      <c r="A669" s="1"/>
      <c r="B669" s="22"/>
      <c r="C669" s="23"/>
      <c r="D669" s="23"/>
      <c r="E669" s="23"/>
      <c r="F669" s="24"/>
      <c r="G669" s="25"/>
      <c r="H669" s="25"/>
      <c r="I669" s="25"/>
      <c r="J669" s="25"/>
      <c r="K669" s="25"/>
      <c r="L669" s="24"/>
      <c r="M669" s="1"/>
    </row>
    <row r="670" ht="24.75" customHeight="1">
      <c r="A670" s="1"/>
      <c r="B670" s="22"/>
      <c r="C670" s="23"/>
      <c r="D670" s="23"/>
      <c r="E670" s="23"/>
      <c r="F670" s="24"/>
      <c r="G670" s="25"/>
      <c r="H670" s="25"/>
      <c r="I670" s="25"/>
      <c r="J670" s="25"/>
      <c r="K670" s="25"/>
      <c r="L670" s="24"/>
      <c r="M670" s="1"/>
    </row>
    <row r="671" ht="24.75" customHeight="1">
      <c r="A671" s="1"/>
      <c r="B671" s="22"/>
      <c r="C671" s="23"/>
      <c r="D671" s="23"/>
      <c r="E671" s="23"/>
      <c r="F671" s="24"/>
      <c r="G671" s="25"/>
      <c r="H671" s="25"/>
      <c r="I671" s="25"/>
      <c r="J671" s="25"/>
      <c r="K671" s="25"/>
      <c r="L671" s="24"/>
      <c r="M671" s="1"/>
    </row>
    <row r="672" ht="24.75" customHeight="1">
      <c r="A672" s="1"/>
      <c r="B672" s="22"/>
      <c r="C672" s="23"/>
      <c r="D672" s="23"/>
      <c r="E672" s="23"/>
      <c r="F672" s="24"/>
      <c r="G672" s="25"/>
      <c r="H672" s="25"/>
      <c r="I672" s="25"/>
      <c r="J672" s="25"/>
      <c r="K672" s="25"/>
      <c r="L672" s="24"/>
      <c r="M672" s="1"/>
    </row>
    <row r="673" ht="24.75" customHeight="1">
      <c r="A673" s="1"/>
      <c r="B673" s="22"/>
      <c r="C673" s="23"/>
      <c r="D673" s="23"/>
      <c r="E673" s="23"/>
      <c r="F673" s="24"/>
      <c r="G673" s="25"/>
      <c r="H673" s="25"/>
      <c r="I673" s="25"/>
      <c r="J673" s="25"/>
      <c r="K673" s="25"/>
      <c r="L673" s="24"/>
      <c r="M673" s="1"/>
    </row>
    <row r="674" ht="24.75" customHeight="1">
      <c r="A674" s="1"/>
      <c r="B674" s="22"/>
      <c r="C674" s="23"/>
      <c r="D674" s="23"/>
      <c r="E674" s="23"/>
      <c r="F674" s="24"/>
      <c r="G674" s="25"/>
      <c r="H674" s="25"/>
      <c r="I674" s="25"/>
      <c r="J674" s="25"/>
      <c r="K674" s="25"/>
      <c r="L674" s="24"/>
      <c r="M674" s="1"/>
    </row>
    <row r="675" ht="24.75" customHeight="1">
      <c r="A675" s="1"/>
      <c r="B675" s="22"/>
      <c r="C675" s="23"/>
      <c r="D675" s="23"/>
      <c r="E675" s="23"/>
      <c r="F675" s="24"/>
      <c r="G675" s="25"/>
      <c r="H675" s="25"/>
      <c r="I675" s="25"/>
      <c r="J675" s="25"/>
      <c r="K675" s="25"/>
      <c r="L675" s="24"/>
      <c r="M675" s="1"/>
    </row>
    <row r="676" ht="24.75" customHeight="1">
      <c r="A676" s="1"/>
      <c r="B676" s="22"/>
      <c r="C676" s="23"/>
      <c r="D676" s="23"/>
      <c r="E676" s="23"/>
      <c r="F676" s="24"/>
      <c r="G676" s="25"/>
      <c r="H676" s="25"/>
      <c r="I676" s="25"/>
      <c r="J676" s="25"/>
      <c r="K676" s="25"/>
      <c r="L676" s="24"/>
      <c r="M676" s="1"/>
    </row>
    <row r="677" ht="24.75" customHeight="1">
      <c r="A677" s="1"/>
      <c r="B677" s="22"/>
      <c r="C677" s="23"/>
      <c r="D677" s="23"/>
      <c r="E677" s="23"/>
      <c r="F677" s="24"/>
      <c r="G677" s="25"/>
      <c r="H677" s="25"/>
      <c r="I677" s="25"/>
      <c r="J677" s="25"/>
      <c r="K677" s="25"/>
      <c r="L677" s="24"/>
      <c r="M677" s="1"/>
    </row>
    <row r="678" ht="24.75" customHeight="1">
      <c r="A678" s="1"/>
      <c r="B678" s="22"/>
      <c r="C678" s="23"/>
      <c r="D678" s="23"/>
      <c r="E678" s="23"/>
      <c r="F678" s="24"/>
      <c r="G678" s="25"/>
      <c r="H678" s="25"/>
      <c r="I678" s="25"/>
      <c r="J678" s="25"/>
      <c r="K678" s="25"/>
      <c r="L678" s="24"/>
      <c r="M678" s="1"/>
    </row>
    <row r="679" ht="24.75" customHeight="1">
      <c r="A679" s="1"/>
      <c r="B679" s="22"/>
      <c r="C679" s="23"/>
      <c r="D679" s="23"/>
      <c r="E679" s="23"/>
      <c r="F679" s="24"/>
      <c r="G679" s="25"/>
      <c r="H679" s="25"/>
      <c r="I679" s="25"/>
      <c r="J679" s="25"/>
      <c r="K679" s="25"/>
      <c r="L679" s="24"/>
      <c r="M679" s="1"/>
    </row>
    <row r="680" ht="24.75" customHeight="1">
      <c r="A680" s="1"/>
      <c r="B680" s="22"/>
      <c r="C680" s="23"/>
      <c r="D680" s="23"/>
      <c r="E680" s="23"/>
      <c r="F680" s="24"/>
      <c r="G680" s="25"/>
      <c r="H680" s="25"/>
      <c r="I680" s="25"/>
      <c r="J680" s="25"/>
      <c r="K680" s="25"/>
      <c r="L680" s="24"/>
      <c r="M680" s="1"/>
    </row>
    <row r="681" ht="24.75" customHeight="1">
      <c r="A681" s="1"/>
      <c r="B681" s="22"/>
      <c r="C681" s="23"/>
      <c r="D681" s="23"/>
      <c r="E681" s="23"/>
      <c r="F681" s="24"/>
      <c r="G681" s="25"/>
      <c r="H681" s="25"/>
      <c r="I681" s="25"/>
      <c r="J681" s="25"/>
      <c r="K681" s="25"/>
      <c r="L681" s="24"/>
      <c r="M681" s="1"/>
    </row>
    <row r="682" ht="24.75" customHeight="1">
      <c r="A682" s="1"/>
      <c r="B682" s="22"/>
      <c r="C682" s="23"/>
      <c r="D682" s="23"/>
      <c r="E682" s="23"/>
      <c r="F682" s="24"/>
      <c r="G682" s="25"/>
      <c r="H682" s="25"/>
      <c r="I682" s="25"/>
      <c r="J682" s="25"/>
      <c r="K682" s="25"/>
      <c r="L682" s="24"/>
      <c r="M682" s="1"/>
    </row>
    <row r="683" ht="24.75" customHeight="1">
      <c r="A683" s="1"/>
      <c r="B683" s="22"/>
      <c r="C683" s="23"/>
      <c r="D683" s="23"/>
      <c r="E683" s="23"/>
      <c r="F683" s="24"/>
      <c r="G683" s="25"/>
      <c r="H683" s="25"/>
      <c r="I683" s="25"/>
      <c r="J683" s="25"/>
      <c r="K683" s="25"/>
      <c r="L683" s="24"/>
      <c r="M683" s="1"/>
    </row>
    <row r="684" ht="24.75" customHeight="1">
      <c r="A684" s="1"/>
      <c r="B684" s="22"/>
      <c r="C684" s="23"/>
      <c r="D684" s="23"/>
      <c r="E684" s="23"/>
      <c r="F684" s="24"/>
      <c r="G684" s="25"/>
      <c r="H684" s="25"/>
      <c r="I684" s="25"/>
      <c r="J684" s="25"/>
      <c r="K684" s="25"/>
      <c r="L684" s="24"/>
      <c r="M684" s="1"/>
    </row>
    <row r="685" ht="24.75" customHeight="1">
      <c r="A685" s="1"/>
      <c r="B685" s="22"/>
      <c r="C685" s="23"/>
      <c r="D685" s="23"/>
      <c r="E685" s="23"/>
      <c r="F685" s="24"/>
      <c r="G685" s="25"/>
      <c r="H685" s="25"/>
      <c r="I685" s="25"/>
      <c r="J685" s="25"/>
      <c r="K685" s="25"/>
      <c r="L685" s="24"/>
      <c r="M685" s="1"/>
    </row>
    <row r="686" ht="24.75" customHeight="1">
      <c r="A686" s="1"/>
      <c r="B686" s="22"/>
      <c r="C686" s="23"/>
      <c r="D686" s="23"/>
      <c r="E686" s="23"/>
      <c r="F686" s="24"/>
      <c r="G686" s="25"/>
      <c r="H686" s="25"/>
      <c r="I686" s="25"/>
      <c r="J686" s="25"/>
      <c r="K686" s="25"/>
      <c r="L686" s="24"/>
      <c r="M686" s="1"/>
    </row>
    <row r="687" ht="24.75" customHeight="1">
      <c r="A687" s="1"/>
      <c r="B687" s="22"/>
      <c r="C687" s="23"/>
      <c r="D687" s="23"/>
      <c r="E687" s="23"/>
      <c r="F687" s="24"/>
      <c r="G687" s="25"/>
      <c r="H687" s="25"/>
      <c r="I687" s="25"/>
      <c r="J687" s="25"/>
      <c r="K687" s="25"/>
      <c r="L687" s="24"/>
      <c r="M687" s="1"/>
    </row>
    <row r="688" ht="24.75" customHeight="1">
      <c r="A688" s="1"/>
      <c r="B688" s="22"/>
      <c r="C688" s="23"/>
      <c r="D688" s="23"/>
      <c r="E688" s="23"/>
      <c r="F688" s="24"/>
      <c r="G688" s="25"/>
      <c r="H688" s="25"/>
      <c r="I688" s="25"/>
      <c r="J688" s="25"/>
      <c r="K688" s="25"/>
      <c r="L688" s="24"/>
      <c r="M688" s="1"/>
    </row>
    <row r="689" ht="24.75" customHeight="1">
      <c r="A689" s="1"/>
      <c r="B689" s="22"/>
      <c r="C689" s="23"/>
      <c r="D689" s="23"/>
      <c r="E689" s="23"/>
      <c r="F689" s="24"/>
      <c r="G689" s="25"/>
      <c r="H689" s="25"/>
      <c r="I689" s="25"/>
      <c r="J689" s="25"/>
      <c r="K689" s="25"/>
      <c r="L689" s="24"/>
      <c r="M689" s="1"/>
    </row>
    <row r="690" ht="24.75" customHeight="1">
      <c r="A690" s="1"/>
      <c r="B690" s="22"/>
      <c r="C690" s="23"/>
      <c r="D690" s="23"/>
      <c r="E690" s="23"/>
      <c r="F690" s="24"/>
      <c r="G690" s="25"/>
      <c r="H690" s="25"/>
      <c r="I690" s="25"/>
      <c r="J690" s="25"/>
      <c r="K690" s="25"/>
      <c r="L690" s="24"/>
      <c r="M690" s="1"/>
    </row>
    <row r="691" ht="24.75" customHeight="1">
      <c r="A691" s="1"/>
      <c r="B691" s="22"/>
      <c r="C691" s="23"/>
      <c r="D691" s="23"/>
      <c r="E691" s="23"/>
      <c r="F691" s="24"/>
      <c r="G691" s="25"/>
      <c r="H691" s="25"/>
      <c r="I691" s="25"/>
      <c r="J691" s="25"/>
      <c r="K691" s="25"/>
      <c r="L691" s="24"/>
      <c r="M691" s="1"/>
    </row>
    <row r="692" ht="24.75" customHeight="1">
      <c r="A692" s="1"/>
      <c r="B692" s="22"/>
      <c r="C692" s="23"/>
      <c r="D692" s="23"/>
      <c r="E692" s="23"/>
      <c r="F692" s="24"/>
      <c r="G692" s="25"/>
      <c r="H692" s="25"/>
      <c r="I692" s="25"/>
      <c r="J692" s="25"/>
      <c r="K692" s="25"/>
      <c r="L692" s="24"/>
      <c r="M692" s="1"/>
    </row>
    <row r="693" ht="24.75" customHeight="1">
      <c r="A693" s="1"/>
      <c r="B693" s="22"/>
      <c r="C693" s="23"/>
      <c r="D693" s="23"/>
      <c r="E693" s="23"/>
      <c r="F693" s="24"/>
      <c r="G693" s="25"/>
      <c r="H693" s="25"/>
      <c r="I693" s="25"/>
      <c r="J693" s="25"/>
      <c r="K693" s="25"/>
      <c r="L693" s="24"/>
      <c r="M693" s="1"/>
    </row>
    <row r="694" ht="24.75" customHeight="1">
      <c r="A694" s="1"/>
      <c r="B694" s="22"/>
      <c r="C694" s="23"/>
      <c r="D694" s="23"/>
      <c r="E694" s="23"/>
      <c r="F694" s="24"/>
      <c r="G694" s="25"/>
      <c r="H694" s="25"/>
      <c r="I694" s="25"/>
      <c r="J694" s="25"/>
      <c r="K694" s="25"/>
      <c r="L694" s="24"/>
      <c r="M694" s="1"/>
    </row>
    <row r="695" ht="24.75" customHeight="1">
      <c r="A695" s="1"/>
      <c r="B695" s="22"/>
      <c r="C695" s="23"/>
      <c r="D695" s="23"/>
      <c r="E695" s="23"/>
      <c r="F695" s="24"/>
      <c r="G695" s="25"/>
      <c r="H695" s="25"/>
      <c r="I695" s="25"/>
      <c r="J695" s="25"/>
      <c r="K695" s="25"/>
      <c r="L695" s="24"/>
      <c r="M695" s="1"/>
    </row>
    <row r="696" ht="24.75" customHeight="1">
      <c r="A696" s="1"/>
      <c r="B696" s="22"/>
      <c r="C696" s="23"/>
      <c r="D696" s="23"/>
      <c r="E696" s="23"/>
      <c r="F696" s="24"/>
      <c r="G696" s="25"/>
      <c r="H696" s="25"/>
      <c r="I696" s="25"/>
      <c r="J696" s="25"/>
      <c r="K696" s="25"/>
      <c r="L696" s="24"/>
      <c r="M696" s="1"/>
    </row>
    <row r="697" ht="24.75" customHeight="1">
      <c r="A697" s="1"/>
      <c r="B697" s="22"/>
      <c r="C697" s="23"/>
      <c r="D697" s="23"/>
      <c r="E697" s="23"/>
      <c r="F697" s="24"/>
      <c r="G697" s="25"/>
      <c r="H697" s="25"/>
      <c r="I697" s="25"/>
      <c r="J697" s="25"/>
      <c r="K697" s="25"/>
      <c r="L697" s="24"/>
      <c r="M697" s="1"/>
    </row>
    <row r="698" ht="24.75" customHeight="1">
      <c r="A698" s="1"/>
      <c r="B698" s="22"/>
      <c r="C698" s="23"/>
      <c r="D698" s="23"/>
      <c r="E698" s="23"/>
      <c r="F698" s="24"/>
      <c r="G698" s="25"/>
      <c r="H698" s="25"/>
      <c r="I698" s="25"/>
      <c r="J698" s="25"/>
      <c r="K698" s="25"/>
      <c r="L698" s="24"/>
      <c r="M698" s="1"/>
    </row>
    <row r="699" ht="24.75" customHeight="1">
      <c r="A699" s="1"/>
      <c r="B699" s="22"/>
      <c r="C699" s="23"/>
      <c r="D699" s="23"/>
      <c r="E699" s="23"/>
      <c r="F699" s="24"/>
      <c r="G699" s="25"/>
      <c r="H699" s="25"/>
      <c r="I699" s="25"/>
      <c r="J699" s="25"/>
      <c r="K699" s="25"/>
      <c r="L699" s="24"/>
      <c r="M699" s="1"/>
    </row>
    <row r="700" ht="24.75" customHeight="1">
      <c r="A700" s="1"/>
      <c r="B700" s="22"/>
      <c r="C700" s="23"/>
      <c r="D700" s="23"/>
      <c r="E700" s="23"/>
      <c r="F700" s="24"/>
      <c r="G700" s="25"/>
      <c r="H700" s="25"/>
      <c r="I700" s="25"/>
      <c r="J700" s="25"/>
      <c r="K700" s="25"/>
      <c r="L700" s="24"/>
      <c r="M700" s="1"/>
    </row>
    <row r="701" ht="24.75" customHeight="1">
      <c r="A701" s="1"/>
      <c r="B701" s="22"/>
      <c r="C701" s="23"/>
      <c r="D701" s="23"/>
      <c r="E701" s="23"/>
      <c r="F701" s="24"/>
      <c r="G701" s="25"/>
      <c r="H701" s="25"/>
      <c r="I701" s="25"/>
      <c r="J701" s="25"/>
      <c r="K701" s="25"/>
      <c r="L701" s="24"/>
      <c r="M701" s="1"/>
    </row>
    <row r="702" ht="24.75" customHeight="1">
      <c r="A702" s="1"/>
      <c r="B702" s="22"/>
      <c r="C702" s="23"/>
      <c r="D702" s="23"/>
      <c r="E702" s="23"/>
      <c r="F702" s="24"/>
      <c r="G702" s="25"/>
      <c r="H702" s="25"/>
      <c r="I702" s="25"/>
      <c r="J702" s="25"/>
      <c r="K702" s="25"/>
      <c r="L702" s="24"/>
      <c r="M702" s="1"/>
    </row>
    <row r="703" ht="24.75" customHeight="1">
      <c r="A703" s="1"/>
      <c r="B703" s="22"/>
      <c r="C703" s="23"/>
      <c r="D703" s="23"/>
      <c r="E703" s="23"/>
      <c r="F703" s="24"/>
      <c r="G703" s="25"/>
      <c r="H703" s="25"/>
      <c r="I703" s="25"/>
      <c r="J703" s="25"/>
      <c r="K703" s="25"/>
      <c r="L703" s="24"/>
      <c r="M703" s="1"/>
    </row>
    <row r="704" ht="24.75" customHeight="1">
      <c r="A704" s="1"/>
      <c r="B704" s="22"/>
      <c r="C704" s="23"/>
      <c r="D704" s="23"/>
      <c r="E704" s="23"/>
      <c r="F704" s="24"/>
      <c r="G704" s="25"/>
      <c r="H704" s="25"/>
      <c r="I704" s="25"/>
      <c r="J704" s="25"/>
      <c r="K704" s="25"/>
      <c r="L704" s="24"/>
      <c r="M704" s="1"/>
    </row>
    <row r="705" ht="24.75" customHeight="1">
      <c r="A705" s="1"/>
      <c r="B705" s="22"/>
      <c r="C705" s="23"/>
      <c r="D705" s="23"/>
      <c r="E705" s="23"/>
      <c r="F705" s="24"/>
      <c r="G705" s="25"/>
      <c r="H705" s="25"/>
      <c r="I705" s="25"/>
      <c r="J705" s="25"/>
      <c r="K705" s="25"/>
      <c r="L705" s="24"/>
      <c r="M705" s="1"/>
    </row>
    <row r="706" ht="24.75" customHeight="1">
      <c r="A706" s="1"/>
      <c r="B706" s="22"/>
      <c r="C706" s="23"/>
      <c r="D706" s="23"/>
      <c r="E706" s="23"/>
      <c r="F706" s="24"/>
      <c r="G706" s="25"/>
      <c r="H706" s="25"/>
      <c r="I706" s="25"/>
      <c r="J706" s="25"/>
      <c r="K706" s="25"/>
      <c r="L706" s="24"/>
      <c r="M706" s="1"/>
    </row>
    <row r="707" ht="24.75" customHeight="1">
      <c r="A707" s="1"/>
      <c r="B707" s="22"/>
      <c r="C707" s="23"/>
      <c r="D707" s="23"/>
      <c r="E707" s="23"/>
      <c r="F707" s="24"/>
      <c r="G707" s="25"/>
      <c r="H707" s="25"/>
      <c r="I707" s="25"/>
      <c r="J707" s="25"/>
      <c r="K707" s="25"/>
      <c r="L707" s="24"/>
      <c r="M707" s="1"/>
    </row>
    <row r="708" ht="24.75" customHeight="1">
      <c r="A708" s="1"/>
      <c r="B708" s="22"/>
      <c r="C708" s="23"/>
      <c r="D708" s="23"/>
      <c r="E708" s="23"/>
      <c r="F708" s="24"/>
      <c r="G708" s="25"/>
      <c r="H708" s="25"/>
      <c r="I708" s="25"/>
      <c r="J708" s="25"/>
      <c r="K708" s="25"/>
      <c r="L708" s="24"/>
      <c r="M708" s="1"/>
    </row>
    <row r="709" ht="24.75" customHeight="1">
      <c r="A709" s="1"/>
      <c r="B709" s="22"/>
      <c r="C709" s="23"/>
      <c r="D709" s="23"/>
      <c r="E709" s="23"/>
      <c r="F709" s="24"/>
      <c r="G709" s="25"/>
      <c r="H709" s="25"/>
      <c r="I709" s="25"/>
      <c r="J709" s="25"/>
      <c r="K709" s="25"/>
      <c r="L709" s="24"/>
      <c r="M709" s="1"/>
    </row>
    <row r="710" ht="24.75" customHeight="1">
      <c r="A710" s="1"/>
      <c r="B710" s="22"/>
      <c r="C710" s="23"/>
      <c r="D710" s="23"/>
      <c r="E710" s="23"/>
      <c r="F710" s="24"/>
      <c r="G710" s="25"/>
      <c r="H710" s="25"/>
      <c r="I710" s="25"/>
      <c r="J710" s="25"/>
      <c r="K710" s="25"/>
      <c r="L710" s="24"/>
      <c r="M710" s="1"/>
    </row>
    <row r="711" ht="24.75" customHeight="1">
      <c r="A711" s="1"/>
      <c r="B711" s="22"/>
      <c r="C711" s="23"/>
      <c r="D711" s="23"/>
      <c r="E711" s="23"/>
      <c r="F711" s="24"/>
      <c r="G711" s="25"/>
      <c r="H711" s="25"/>
      <c r="I711" s="25"/>
      <c r="J711" s="25"/>
      <c r="K711" s="25"/>
      <c r="L711" s="24"/>
      <c r="M711" s="1"/>
    </row>
    <row r="712" ht="24.75" customHeight="1">
      <c r="A712" s="1"/>
      <c r="B712" s="22"/>
      <c r="C712" s="23"/>
      <c r="D712" s="23"/>
      <c r="E712" s="23"/>
      <c r="F712" s="24"/>
      <c r="G712" s="25"/>
      <c r="H712" s="25"/>
      <c r="I712" s="25"/>
      <c r="J712" s="25"/>
      <c r="K712" s="25"/>
      <c r="L712" s="24"/>
      <c r="M712" s="1"/>
    </row>
    <row r="713" ht="24.75" customHeight="1">
      <c r="A713" s="1"/>
      <c r="B713" s="22"/>
      <c r="C713" s="23"/>
      <c r="D713" s="23"/>
      <c r="E713" s="23"/>
      <c r="F713" s="24"/>
      <c r="G713" s="25"/>
      <c r="H713" s="25"/>
      <c r="I713" s="25"/>
      <c r="J713" s="25"/>
      <c r="K713" s="25"/>
      <c r="L713" s="24"/>
      <c r="M713" s="1"/>
    </row>
    <row r="714" ht="24.75" customHeight="1">
      <c r="A714" s="1"/>
      <c r="B714" s="22"/>
      <c r="C714" s="23"/>
      <c r="D714" s="23"/>
      <c r="E714" s="23"/>
      <c r="F714" s="24"/>
      <c r="G714" s="25"/>
      <c r="H714" s="25"/>
      <c r="I714" s="25"/>
      <c r="J714" s="25"/>
      <c r="K714" s="25"/>
      <c r="L714" s="24"/>
      <c r="M714" s="1"/>
    </row>
    <row r="715" ht="24.75" customHeight="1">
      <c r="A715" s="1"/>
      <c r="B715" s="22"/>
      <c r="C715" s="23"/>
      <c r="D715" s="23"/>
      <c r="E715" s="23"/>
      <c r="F715" s="24"/>
      <c r="G715" s="25"/>
      <c r="H715" s="25"/>
      <c r="I715" s="25"/>
      <c r="J715" s="25"/>
      <c r="K715" s="25"/>
      <c r="L715" s="24"/>
      <c r="M715" s="1"/>
    </row>
    <row r="716" ht="24.75" customHeight="1">
      <c r="A716" s="1"/>
      <c r="B716" s="22"/>
      <c r="C716" s="23"/>
      <c r="D716" s="23"/>
      <c r="E716" s="23"/>
      <c r="F716" s="24"/>
      <c r="G716" s="25"/>
      <c r="H716" s="25"/>
      <c r="I716" s="25"/>
      <c r="J716" s="25"/>
      <c r="K716" s="25"/>
      <c r="L716" s="24"/>
      <c r="M716" s="1"/>
    </row>
    <row r="717" ht="24.75" customHeight="1">
      <c r="A717" s="1"/>
      <c r="B717" s="22"/>
      <c r="C717" s="23"/>
      <c r="D717" s="23"/>
      <c r="E717" s="23"/>
      <c r="F717" s="24"/>
      <c r="G717" s="25"/>
      <c r="H717" s="25"/>
      <c r="I717" s="25"/>
      <c r="J717" s="25"/>
      <c r="K717" s="25"/>
      <c r="L717" s="24"/>
      <c r="M717" s="1"/>
    </row>
    <row r="718" ht="24.75" customHeight="1">
      <c r="A718" s="1"/>
      <c r="B718" s="22"/>
      <c r="C718" s="23"/>
      <c r="D718" s="23"/>
      <c r="E718" s="23"/>
      <c r="F718" s="24"/>
      <c r="G718" s="25"/>
      <c r="H718" s="25"/>
      <c r="I718" s="25"/>
      <c r="J718" s="25"/>
      <c r="K718" s="25"/>
      <c r="L718" s="24"/>
      <c r="M718" s="1"/>
    </row>
    <row r="719" ht="24.75" customHeight="1">
      <c r="A719" s="1"/>
      <c r="B719" s="22"/>
      <c r="C719" s="23"/>
      <c r="D719" s="23"/>
      <c r="E719" s="23"/>
      <c r="F719" s="24"/>
      <c r="G719" s="25"/>
      <c r="H719" s="25"/>
      <c r="I719" s="25"/>
      <c r="J719" s="25"/>
      <c r="K719" s="25"/>
      <c r="L719" s="24"/>
      <c r="M719" s="1"/>
    </row>
    <row r="720" ht="24.75" customHeight="1">
      <c r="A720" s="1"/>
      <c r="B720" s="22"/>
      <c r="C720" s="23"/>
      <c r="D720" s="23"/>
      <c r="E720" s="23"/>
      <c r="F720" s="24"/>
      <c r="G720" s="25"/>
      <c r="H720" s="25"/>
      <c r="I720" s="25"/>
      <c r="J720" s="25"/>
      <c r="K720" s="25"/>
      <c r="L720" s="24"/>
      <c r="M720" s="1"/>
    </row>
    <row r="721" ht="24.75" customHeight="1">
      <c r="A721" s="1"/>
      <c r="B721" s="22"/>
      <c r="C721" s="23"/>
      <c r="D721" s="23"/>
      <c r="E721" s="23"/>
      <c r="F721" s="24"/>
      <c r="G721" s="25"/>
      <c r="H721" s="25"/>
      <c r="I721" s="25"/>
      <c r="J721" s="25"/>
      <c r="K721" s="25"/>
      <c r="L721" s="24"/>
      <c r="M721" s="1"/>
    </row>
    <row r="722" ht="24.75" customHeight="1">
      <c r="A722" s="1"/>
      <c r="B722" s="22"/>
      <c r="C722" s="23"/>
      <c r="D722" s="23"/>
      <c r="E722" s="23"/>
      <c r="F722" s="24"/>
      <c r="G722" s="25"/>
      <c r="H722" s="25"/>
      <c r="I722" s="25"/>
      <c r="J722" s="25"/>
      <c r="K722" s="25"/>
      <c r="L722" s="24"/>
      <c r="M722" s="1"/>
    </row>
    <row r="723" ht="24.75" customHeight="1">
      <c r="A723" s="1"/>
      <c r="B723" s="22"/>
      <c r="C723" s="23"/>
      <c r="D723" s="23"/>
      <c r="E723" s="23"/>
      <c r="F723" s="24"/>
      <c r="G723" s="25"/>
      <c r="H723" s="25"/>
      <c r="I723" s="25"/>
      <c r="J723" s="25"/>
      <c r="K723" s="25"/>
      <c r="L723" s="24"/>
      <c r="M723" s="1"/>
    </row>
    <row r="724" ht="24.75" customHeight="1">
      <c r="A724" s="1"/>
      <c r="B724" s="22"/>
      <c r="C724" s="23"/>
      <c r="D724" s="23"/>
      <c r="E724" s="23"/>
      <c r="F724" s="24"/>
      <c r="G724" s="25"/>
      <c r="H724" s="25"/>
      <c r="I724" s="25"/>
      <c r="J724" s="25"/>
      <c r="K724" s="25"/>
      <c r="L724" s="24"/>
      <c r="M724" s="1"/>
    </row>
    <row r="725" ht="24.75" customHeight="1">
      <c r="A725" s="1"/>
      <c r="B725" s="22"/>
      <c r="C725" s="23"/>
      <c r="D725" s="23"/>
      <c r="E725" s="23"/>
      <c r="F725" s="24"/>
      <c r="G725" s="25"/>
      <c r="H725" s="25"/>
      <c r="I725" s="25"/>
      <c r="J725" s="25"/>
      <c r="K725" s="25"/>
      <c r="L725" s="24"/>
      <c r="M725" s="1"/>
    </row>
    <row r="726" ht="24.75" customHeight="1">
      <c r="A726" s="1"/>
      <c r="B726" s="22"/>
      <c r="C726" s="23"/>
      <c r="D726" s="23"/>
      <c r="E726" s="23"/>
      <c r="F726" s="24"/>
      <c r="G726" s="25"/>
      <c r="H726" s="25"/>
      <c r="I726" s="25"/>
      <c r="J726" s="25"/>
      <c r="K726" s="25"/>
      <c r="L726" s="24"/>
      <c r="M726" s="1"/>
    </row>
    <row r="727" ht="24.75" customHeight="1">
      <c r="A727" s="1"/>
      <c r="B727" s="22"/>
      <c r="C727" s="23"/>
      <c r="D727" s="23"/>
      <c r="E727" s="23"/>
      <c r="F727" s="24"/>
      <c r="G727" s="25"/>
      <c r="H727" s="25"/>
      <c r="I727" s="25"/>
      <c r="J727" s="25"/>
      <c r="K727" s="25"/>
      <c r="L727" s="24"/>
      <c r="M727" s="1"/>
    </row>
    <row r="728" ht="24.75" customHeight="1">
      <c r="A728" s="1"/>
      <c r="B728" s="22"/>
      <c r="C728" s="23"/>
      <c r="D728" s="23"/>
      <c r="E728" s="23"/>
      <c r="F728" s="24"/>
      <c r="G728" s="25"/>
      <c r="H728" s="25"/>
      <c r="I728" s="25"/>
      <c r="J728" s="25"/>
      <c r="K728" s="25"/>
      <c r="L728" s="24"/>
      <c r="M728" s="1"/>
    </row>
    <row r="729" ht="24.75" customHeight="1">
      <c r="A729" s="1"/>
      <c r="B729" s="22"/>
      <c r="C729" s="23"/>
      <c r="D729" s="23"/>
      <c r="E729" s="23"/>
      <c r="F729" s="24"/>
      <c r="G729" s="25"/>
      <c r="H729" s="25"/>
      <c r="I729" s="25"/>
      <c r="J729" s="25"/>
      <c r="K729" s="25"/>
      <c r="L729" s="24"/>
      <c r="M729" s="1"/>
    </row>
    <row r="730" ht="24.75" customHeight="1">
      <c r="A730" s="1"/>
      <c r="B730" s="22"/>
      <c r="C730" s="23"/>
      <c r="D730" s="23"/>
      <c r="E730" s="23"/>
      <c r="F730" s="24"/>
      <c r="G730" s="25"/>
      <c r="H730" s="25"/>
      <c r="I730" s="25"/>
      <c r="J730" s="25"/>
      <c r="K730" s="25"/>
      <c r="L730" s="24"/>
      <c r="M730" s="1"/>
    </row>
    <row r="731" ht="24.75" customHeight="1">
      <c r="A731" s="1"/>
      <c r="B731" s="22"/>
      <c r="C731" s="23"/>
      <c r="D731" s="23"/>
      <c r="E731" s="23"/>
      <c r="F731" s="24"/>
      <c r="G731" s="25"/>
      <c r="H731" s="25"/>
      <c r="I731" s="25"/>
      <c r="J731" s="25"/>
      <c r="K731" s="25"/>
      <c r="L731" s="24"/>
      <c r="M731" s="1"/>
    </row>
    <row r="732" ht="24.75" customHeight="1">
      <c r="A732" s="1"/>
      <c r="B732" s="22"/>
      <c r="C732" s="23"/>
      <c r="D732" s="23"/>
      <c r="E732" s="23"/>
      <c r="F732" s="24"/>
      <c r="G732" s="25"/>
      <c r="H732" s="25"/>
      <c r="I732" s="25"/>
      <c r="J732" s="25"/>
      <c r="K732" s="25"/>
      <c r="L732" s="24"/>
      <c r="M732" s="1"/>
    </row>
    <row r="733" ht="24.75" customHeight="1">
      <c r="A733" s="1"/>
      <c r="B733" s="22"/>
      <c r="C733" s="23"/>
      <c r="D733" s="23"/>
      <c r="E733" s="23"/>
      <c r="F733" s="24"/>
      <c r="G733" s="25"/>
      <c r="H733" s="25"/>
      <c r="I733" s="25"/>
      <c r="J733" s="25"/>
      <c r="K733" s="25"/>
      <c r="L733" s="24"/>
      <c r="M733" s="1"/>
    </row>
    <row r="734" ht="24.75" customHeight="1">
      <c r="A734" s="1"/>
      <c r="B734" s="22"/>
      <c r="C734" s="23"/>
      <c r="D734" s="23"/>
      <c r="E734" s="23"/>
      <c r="F734" s="24"/>
      <c r="G734" s="25"/>
      <c r="H734" s="25"/>
      <c r="I734" s="25"/>
      <c r="J734" s="25"/>
      <c r="K734" s="25"/>
      <c r="L734" s="24"/>
      <c r="M734" s="1"/>
    </row>
    <row r="735" ht="24.75" customHeight="1">
      <c r="A735" s="1"/>
      <c r="B735" s="22"/>
      <c r="C735" s="23"/>
      <c r="D735" s="23"/>
      <c r="E735" s="23"/>
      <c r="F735" s="24"/>
      <c r="G735" s="25"/>
      <c r="H735" s="25"/>
      <c r="I735" s="25"/>
      <c r="J735" s="25"/>
      <c r="K735" s="25"/>
      <c r="L735" s="24"/>
      <c r="M735" s="1"/>
    </row>
    <row r="736" ht="24.75" customHeight="1">
      <c r="A736" s="1"/>
      <c r="B736" s="22"/>
      <c r="C736" s="23"/>
      <c r="D736" s="23"/>
      <c r="E736" s="23"/>
      <c r="F736" s="24"/>
      <c r="G736" s="25"/>
      <c r="H736" s="25"/>
      <c r="I736" s="25"/>
      <c r="J736" s="25"/>
      <c r="K736" s="25"/>
      <c r="L736" s="24"/>
      <c r="M736" s="1"/>
    </row>
    <row r="737" ht="24.75" customHeight="1">
      <c r="A737" s="1"/>
      <c r="B737" s="22"/>
      <c r="C737" s="23"/>
      <c r="D737" s="23"/>
      <c r="E737" s="23"/>
      <c r="F737" s="24"/>
      <c r="G737" s="25"/>
      <c r="H737" s="25"/>
      <c r="I737" s="25"/>
      <c r="J737" s="25"/>
      <c r="K737" s="25"/>
      <c r="L737" s="24"/>
      <c r="M737" s="1"/>
    </row>
    <row r="738" ht="24.75" customHeight="1">
      <c r="A738" s="1"/>
      <c r="B738" s="22"/>
      <c r="C738" s="23"/>
      <c r="D738" s="23"/>
      <c r="E738" s="23"/>
      <c r="F738" s="24"/>
      <c r="G738" s="25"/>
      <c r="H738" s="25"/>
      <c r="I738" s="25"/>
      <c r="J738" s="25"/>
      <c r="K738" s="25"/>
      <c r="L738" s="24"/>
      <c r="M738" s="1"/>
    </row>
    <row r="739" ht="24.75" customHeight="1">
      <c r="A739" s="1"/>
      <c r="B739" s="22"/>
      <c r="C739" s="23"/>
      <c r="D739" s="23"/>
      <c r="E739" s="23"/>
      <c r="F739" s="24"/>
      <c r="G739" s="25"/>
      <c r="H739" s="25"/>
      <c r="I739" s="25"/>
      <c r="J739" s="25"/>
      <c r="K739" s="25"/>
      <c r="L739" s="24"/>
      <c r="M739" s="1"/>
    </row>
    <row r="740" ht="24.75" customHeight="1">
      <c r="A740" s="1"/>
      <c r="B740" s="22"/>
      <c r="C740" s="23"/>
      <c r="D740" s="23"/>
      <c r="E740" s="23"/>
      <c r="F740" s="24"/>
      <c r="G740" s="25"/>
      <c r="H740" s="25"/>
      <c r="I740" s="25"/>
      <c r="J740" s="25"/>
      <c r="K740" s="25"/>
      <c r="L740" s="24"/>
      <c r="M740" s="1"/>
    </row>
    <row r="741" ht="24.75" customHeight="1">
      <c r="A741" s="1"/>
      <c r="B741" s="22"/>
      <c r="C741" s="23"/>
      <c r="D741" s="23"/>
      <c r="E741" s="23"/>
      <c r="F741" s="24"/>
      <c r="G741" s="25"/>
      <c r="H741" s="25"/>
      <c r="I741" s="25"/>
      <c r="J741" s="25"/>
      <c r="K741" s="25"/>
      <c r="L741" s="24"/>
      <c r="M741" s="1"/>
    </row>
    <row r="742" ht="24.75" customHeight="1">
      <c r="A742" s="1"/>
      <c r="B742" s="22"/>
      <c r="C742" s="23"/>
      <c r="D742" s="23"/>
      <c r="E742" s="23"/>
      <c r="F742" s="24"/>
      <c r="G742" s="25"/>
      <c r="H742" s="25"/>
      <c r="I742" s="25"/>
      <c r="J742" s="25"/>
      <c r="K742" s="25"/>
      <c r="L742" s="24"/>
      <c r="M742" s="1"/>
    </row>
    <row r="743" ht="24.75" customHeight="1">
      <c r="A743" s="1"/>
      <c r="B743" s="22"/>
      <c r="C743" s="23"/>
      <c r="D743" s="23"/>
      <c r="E743" s="23"/>
      <c r="F743" s="24"/>
      <c r="G743" s="25"/>
      <c r="H743" s="25"/>
      <c r="I743" s="25"/>
      <c r="J743" s="25"/>
      <c r="K743" s="25"/>
      <c r="L743" s="24"/>
      <c r="M743" s="1"/>
    </row>
    <row r="744" ht="24.75" customHeight="1">
      <c r="A744" s="1"/>
      <c r="B744" s="22"/>
      <c r="C744" s="23"/>
      <c r="D744" s="23"/>
      <c r="E744" s="23"/>
      <c r="F744" s="24"/>
      <c r="G744" s="25"/>
      <c r="H744" s="25"/>
      <c r="I744" s="25"/>
      <c r="J744" s="25"/>
      <c r="K744" s="25"/>
      <c r="L744" s="24"/>
      <c r="M744" s="1"/>
    </row>
    <row r="745" ht="24.75" customHeight="1">
      <c r="A745" s="1"/>
      <c r="B745" s="22"/>
      <c r="C745" s="23"/>
      <c r="D745" s="23"/>
      <c r="E745" s="23"/>
      <c r="F745" s="24"/>
      <c r="G745" s="25"/>
      <c r="H745" s="25"/>
      <c r="I745" s="25"/>
      <c r="J745" s="25"/>
      <c r="K745" s="25"/>
      <c r="L745" s="24"/>
      <c r="M745" s="1"/>
    </row>
    <row r="746" ht="24.75" customHeight="1">
      <c r="A746" s="1"/>
      <c r="B746" s="22"/>
      <c r="C746" s="23"/>
      <c r="D746" s="23"/>
      <c r="E746" s="23"/>
      <c r="F746" s="24"/>
      <c r="G746" s="25"/>
      <c r="H746" s="25"/>
      <c r="I746" s="25"/>
      <c r="J746" s="25"/>
      <c r="K746" s="25"/>
      <c r="L746" s="24"/>
      <c r="M746" s="1"/>
    </row>
    <row r="747" ht="24.75" customHeight="1">
      <c r="A747" s="1"/>
      <c r="B747" s="22"/>
      <c r="C747" s="23"/>
      <c r="D747" s="23"/>
      <c r="E747" s="23"/>
      <c r="F747" s="24"/>
      <c r="G747" s="25"/>
      <c r="H747" s="25"/>
      <c r="I747" s="25"/>
      <c r="J747" s="25"/>
      <c r="K747" s="25"/>
      <c r="L747" s="24"/>
      <c r="M747" s="1"/>
    </row>
    <row r="748" ht="24.75" customHeight="1">
      <c r="A748" s="1"/>
      <c r="B748" s="22"/>
      <c r="C748" s="23"/>
      <c r="D748" s="23"/>
      <c r="E748" s="23"/>
      <c r="F748" s="24"/>
      <c r="G748" s="25"/>
      <c r="H748" s="25"/>
      <c r="I748" s="25"/>
      <c r="J748" s="25"/>
      <c r="K748" s="25"/>
      <c r="L748" s="24"/>
      <c r="M748" s="1"/>
    </row>
    <row r="749" ht="24.75" customHeight="1">
      <c r="A749" s="1"/>
      <c r="B749" s="22"/>
      <c r="C749" s="23"/>
      <c r="D749" s="23"/>
      <c r="E749" s="23"/>
      <c r="F749" s="24"/>
      <c r="G749" s="25"/>
      <c r="H749" s="25"/>
      <c r="I749" s="25"/>
      <c r="J749" s="25"/>
      <c r="K749" s="25"/>
      <c r="L749" s="24"/>
      <c r="M749" s="1"/>
    </row>
    <row r="750" ht="24.75" customHeight="1">
      <c r="A750" s="1"/>
      <c r="B750" s="22"/>
      <c r="C750" s="23"/>
      <c r="D750" s="23"/>
      <c r="E750" s="23"/>
      <c r="F750" s="24"/>
      <c r="G750" s="25"/>
      <c r="H750" s="25"/>
      <c r="I750" s="25"/>
      <c r="J750" s="25"/>
      <c r="K750" s="25"/>
      <c r="L750" s="24"/>
      <c r="M750" s="1"/>
    </row>
    <row r="751" ht="24.75" customHeight="1">
      <c r="A751" s="1"/>
      <c r="B751" s="22"/>
      <c r="C751" s="23"/>
      <c r="D751" s="23"/>
      <c r="E751" s="23"/>
      <c r="F751" s="24"/>
      <c r="G751" s="25"/>
      <c r="H751" s="25"/>
      <c r="I751" s="25"/>
      <c r="J751" s="25"/>
      <c r="K751" s="25"/>
      <c r="L751" s="24"/>
      <c r="M751" s="1"/>
    </row>
    <row r="752" ht="24.75" customHeight="1">
      <c r="A752" s="1"/>
      <c r="B752" s="22"/>
      <c r="C752" s="23"/>
      <c r="D752" s="23"/>
      <c r="E752" s="23"/>
      <c r="F752" s="24"/>
      <c r="G752" s="25"/>
      <c r="H752" s="25"/>
      <c r="I752" s="25"/>
      <c r="J752" s="25"/>
      <c r="K752" s="25"/>
      <c r="L752" s="24"/>
      <c r="M752" s="1"/>
    </row>
    <row r="753" ht="24.75" customHeight="1">
      <c r="A753" s="1"/>
      <c r="B753" s="22"/>
      <c r="C753" s="23"/>
      <c r="D753" s="23"/>
      <c r="E753" s="23"/>
      <c r="F753" s="24"/>
      <c r="G753" s="25"/>
      <c r="H753" s="25"/>
      <c r="I753" s="25"/>
      <c r="J753" s="25"/>
      <c r="K753" s="25"/>
      <c r="L753" s="24"/>
      <c r="M753" s="1"/>
    </row>
    <row r="754" ht="24.75" customHeight="1">
      <c r="A754" s="1"/>
      <c r="B754" s="22"/>
      <c r="C754" s="23"/>
      <c r="D754" s="23"/>
      <c r="E754" s="23"/>
      <c r="F754" s="24"/>
      <c r="G754" s="25"/>
      <c r="H754" s="25"/>
      <c r="I754" s="25"/>
      <c r="J754" s="25"/>
      <c r="K754" s="25"/>
      <c r="L754" s="24"/>
      <c r="M754" s="1"/>
    </row>
    <row r="755" ht="24.75" customHeight="1">
      <c r="A755" s="1"/>
      <c r="B755" s="22"/>
      <c r="C755" s="23"/>
      <c r="D755" s="23"/>
      <c r="E755" s="23"/>
      <c r="F755" s="24"/>
      <c r="G755" s="25"/>
      <c r="H755" s="25"/>
      <c r="I755" s="25"/>
      <c r="J755" s="25"/>
      <c r="K755" s="25"/>
      <c r="L755" s="24"/>
      <c r="M755" s="1"/>
    </row>
    <row r="756" ht="24.75" customHeight="1">
      <c r="A756" s="1"/>
      <c r="B756" s="22"/>
      <c r="C756" s="23"/>
      <c r="D756" s="23"/>
      <c r="E756" s="23"/>
      <c r="F756" s="24"/>
      <c r="G756" s="25"/>
      <c r="H756" s="25"/>
      <c r="I756" s="25"/>
      <c r="J756" s="25"/>
      <c r="K756" s="25"/>
      <c r="L756" s="24"/>
      <c r="M756" s="1"/>
    </row>
    <row r="757" ht="24.75" customHeight="1">
      <c r="A757" s="1"/>
      <c r="B757" s="22"/>
      <c r="C757" s="23"/>
      <c r="D757" s="23"/>
      <c r="E757" s="23"/>
      <c r="F757" s="24"/>
      <c r="G757" s="25"/>
      <c r="H757" s="25"/>
      <c r="I757" s="25"/>
      <c r="J757" s="25"/>
      <c r="K757" s="25"/>
      <c r="L757" s="24"/>
      <c r="M757" s="1"/>
    </row>
    <row r="758" ht="24.75" customHeight="1">
      <c r="A758" s="1"/>
      <c r="B758" s="22"/>
      <c r="C758" s="23"/>
      <c r="D758" s="23"/>
      <c r="E758" s="23"/>
      <c r="F758" s="24"/>
      <c r="G758" s="25"/>
      <c r="H758" s="25"/>
      <c r="I758" s="25"/>
      <c r="J758" s="25"/>
      <c r="K758" s="25"/>
      <c r="L758" s="24"/>
      <c r="M758" s="1"/>
    </row>
    <row r="759" ht="24.75" customHeight="1">
      <c r="A759" s="1"/>
      <c r="B759" s="22"/>
      <c r="C759" s="23"/>
      <c r="D759" s="23"/>
      <c r="E759" s="23"/>
      <c r="F759" s="24"/>
      <c r="G759" s="25"/>
      <c r="H759" s="25"/>
      <c r="I759" s="25"/>
      <c r="J759" s="25"/>
      <c r="K759" s="25"/>
      <c r="L759" s="24"/>
      <c r="M759" s="1"/>
    </row>
    <row r="760" ht="24.75" customHeight="1">
      <c r="A760" s="1"/>
      <c r="B760" s="22"/>
      <c r="C760" s="23"/>
      <c r="D760" s="23"/>
      <c r="E760" s="23"/>
      <c r="F760" s="24"/>
      <c r="G760" s="25"/>
      <c r="H760" s="25"/>
      <c r="I760" s="25"/>
      <c r="J760" s="25"/>
      <c r="K760" s="25"/>
      <c r="L760" s="24"/>
      <c r="M760" s="1"/>
    </row>
    <row r="761" ht="24.75" customHeight="1">
      <c r="A761" s="1"/>
      <c r="B761" s="22"/>
      <c r="C761" s="23"/>
      <c r="D761" s="23"/>
      <c r="E761" s="23"/>
      <c r="F761" s="24"/>
      <c r="G761" s="25"/>
      <c r="H761" s="25"/>
      <c r="I761" s="25"/>
      <c r="J761" s="25"/>
      <c r="K761" s="25"/>
      <c r="L761" s="24"/>
      <c r="M761" s="1"/>
    </row>
    <row r="762" ht="24.75" customHeight="1">
      <c r="A762" s="1"/>
      <c r="B762" s="22"/>
      <c r="C762" s="23"/>
      <c r="D762" s="23"/>
      <c r="E762" s="23"/>
      <c r="F762" s="24"/>
      <c r="G762" s="25"/>
      <c r="H762" s="25"/>
      <c r="I762" s="25"/>
      <c r="J762" s="25"/>
      <c r="K762" s="25"/>
      <c r="L762" s="24"/>
      <c r="M762" s="1"/>
    </row>
    <row r="763" ht="24.75" customHeight="1">
      <c r="A763" s="1"/>
      <c r="B763" s="22"/>
      <c r="C763" s="23"/>
      <c r="D763" s="23"/>
      <c r="E763" s="23"/>
      <c r="F763" s="24"/>
      <c r="G763" s="25"/>
      <c r="H763" s="25"/>
      <c r="I763" s="25"/>
      <c r="J763" s="25"/>
      <c r="K763" s="25"/>
      <c r="L763" s="24"/>
      <c r="M763" s="1"/>
    </row>
    <row r="764" ht="24.75" customHeight="1">
      <c r="A764" s="1"/>
      <c r="B764" s="22"/>
      <c r="C764" s="23"/>
      <c r="D764" s="23"/>
      <c r="E764" s="23"/>
      <c r="F764" s="24"/>
      <c r="G764" s="25"/>
      <c r="H764" s="25"/>
      <c r="I764" s="25"/>
      <c r="J764" s="25"/>
      <c r="K764" s="25"/>
      <c r="L764" s="24"/>
      <c r="M764" s="1"/>
    </row>
    <row r="765" ht="24.75" customHeight="1">
      <c r="A765" s="1"/>
      <c r="B765" s="22"/>
      <c r="C765" s="23"/>
      <c r="D765" s="23"/>
      <c r="E765" s="23"/>
      <c r="F765" s="24"/>
      <c r="G765" s="25"/>
      <c r="H765" s="25"/>
      <c r="I765" s="25"/>
      <c r="J765" s="25"/>
      <c r="K765" s="25"/>
      <c r="L765" s="24"/>
      <c r="M765" s="1"/>
    </row>
    <row r="766" ht="24.75" customHeight="1">
      <c r="A766" s="1"/>
      <c r="B766" s="22"/>
      <c r="C766" s="23"/>
      <c r="D766" s="23"/>
      <c r="E766" s="23"/>
      <c r="F766" s="24"/>
      <c r="G766" s="25"/>
      <c r="H766" s="25"/>
      <c r="I766" s="25"/>
      <c r="J766" s="25"/>
      <c r="K766" s="25"/>
      <c r="L766" s="24"/>
      <c r="M766" s="1"/>
    </row>
    <row r="767" ht="24.75" customHeight="1">
      <c r="A767" s="1"/>
      <c r="B767" s="22"/>
      <c r="C767" s="23"/>
      <c r="D767" s="23"/>
      <c r="E767" s="23"/>
      <c r="F767" s="24"/>
      <c r="G767" s="25"/>
      <c r="H767" s="25"/>
      <c r="I767" s="25"/>
      <c r="J767" s="25"/>
      <c r="K767" s="25"/>
      <c r="L767" s="24"/>
      <c r="M767" s="1"/>
    </row>
    <row r="768" ht="24.75" customHeight="1">
      <c r="A768" s="1"/>
      <c r="B768" s="22"/>
      <c r="C768" s="23"/>
      <c r="D768" s="23"/>
      <c r="E768" s="23"/>
      <c r="F768" s="24"/>
      <c r="G768" s="25"/>
      <c r="H768" s="25"/>
      <c r="I768" s="25"/>
      <c r="J768" s="25"/>
      <c r="K768" s="25"/>
      <c r="L768" s="24"/>
      <c r="M768" s="1"/>
    </row>
    <row r="769" ht="24.75" customHeight="1">
      <c r="A769" s="1"/>
      <c r="B769" s="22"/>
      <c r="C769" s="23"/>
      <c r="D769" s="23"/>
      <c r="E769" s="23"/>
      <c r="F769" s="24"/>
      <c r="G769" s="25"/>
      <c r="H769" s="25"/>
      <c r="I769" s="25"/>
      <c r="J769" s="25"/>
      <c r="K769" s="25"/>
      <c r="L769" s="24"/>
      <c r="M769" s="1"/>
    </row>
    <row r="770" ht="24.75" customHeight="1">
      <c r="A770" s="1"/>
      <c r="B770" s="22"/>
      <c r="C770" s="23"/>
      <c r="D770" s="23"/>
      <c r="E770" s="23"/>
      <c r="F770" s="24"/>
      <c r="G770" s="25"/>
      <c r="H770" s="25"/>
      <c r="I770" s="25"/>
      <c r="J770" s="25"/>
      <c r="K770" s="25"/>
      <c r="L770" s="24"/>
      <c r="M770" s="1"/>
    </row>
    <row r="771" ht="24.75" customHeight="1">
      <c r="A771" s="1"/>
      <c r="B771" s="22"/>
      <c r="C771" s="23"/>
      <c r="D771" s="23"/>
      <c r="E771" s="23"/>
      <c r="F771" s="24"/>
      <c r="G771" s="25"/>
      <c r="H771" s="25"/>
      <c r="I771" s="25"/>
      <c r="J771" s="25"/>
      <c r="K771" s="25"/>
      <c r="L771" s="24"/>
      <c r="M771" s="1"/>
    </row>
    <row r="772" ht="24.75" customHeight="1">
      <c r="A772" s="1"/>
      <c r="B772" s="22"/>
      <c r="C772" s="23"/>
      <c r="D772" s="23"/>
      <c r="E772" s="23"/>
      <c r="F772" s="24"/>
      <c r="G772" s="25"/>
      <c r="H772" s="25"/>
      <c r="I772" s="25"/>
      <c r="J772" s="25"/>
      <c r="K772" s="25"/>
      <c r="L772" s="24"/>
      <c r="M772" s="1"/>
    </row>
    <row r="773" ht="24.75" customHeight="1">
      <c r="A773" s="1"/>
      <c r="B773" s="22"/>
      <c r="C773" s="23"/>
      <c r="D773" s="23"/>
      <c r="E773" s="23"/>
      <c r="F773" s="24"/>
      <c r="G773" s="25"/>
      <c r="H773" s="25"/>
      <c r="I773" s="25"/>
      <c r="J773" s="25"/>
      <c r="K773" s="25"/>
      <c r="L773" s="24"/>
      <c r="M773" s="1"/>
    </row>
    <row r="774" ht="24.75" customHeight="1">
      <c r="A774" s="1"/>
      <c r="B774" s="22"/>
      <c r="C774" s="23"/>
      <c r="D774" s="23"/>
      <c r="E774" s="23"/>
      <c r="F774" s="24"/>
      <c r="G774" s="25"/>
      <c r="H774" s="25"/>
      <c r="I774" s="25"/>
      <c r="J774" s="25"/>
      <c r="K774" s="25"/>
      <c r="L774" s="24"/>
      <c r="M774" s="1"/>
    </row>
    <row r="775" ht="24.75" customHeight="1">
      <c r="A775" s="1"/>
      <c r="B775" s="22"/>
      <c r="C775" s="23"/>
      <c r="D775" s="23"/>
      <c r="E775" s="23"/>
      <c r="F775" s="24"/>
      <c r="G775" s="25"/>
      <c r="H775" s="25"/>
      <c r="I775" s="25"/>
      <c r="J775" s="25"/>
      <c r="K775" s="25"/>
      <c r="L775" s="24"/>
      <c r="M775" s="1"/>
    </row>
    <row r="776" ht="24.75" customHeight="1">
      <c r="A776" s="1"/>
      <c r="B776" s="22"/>
      <c r="C776" s="23"/>
      <c r="D776" s="23"/>
      <c r="E776" s="23"/>
      <c r="F776" s="24"/>
      <c r="G776" s="25"/>
      <c r="H776" s="25"/>
      <c r="I776" s="25"/>
      <c r="J776" s="25"/>
      <c r="K776" s="25"/>
      <c r="L776" s="24"/>
      <c r="M776" s="1"/>
    </row>
    <row r="777" ht="24.75" customHeight="1">
      <c r="A777" s="1"/>
      <c r="B777" s="22"/>
      <c r="C777" s="23"/>
      <c r="D777" s="23"/>
      <c r="E777" s="23"/>
      <c r="F777" s="24"/>
      <c r="G777" s="25"/>
      <c r="H777" s="25"/>
      <c r="I777" s="25"/>
      <c r="J777" s="25"/>
      <c r="K777" s="25"/>
      <c r="L777" s="24"/>
      <c r="M777" s="1"/>
    </row>
    <row r="778" ht="24.75" customHeight="1">
      <c r="A778" s="1"/>
      <c r="B778" s="22"/>
      <c r="C778" s="23"/>
      <c r="D778" s="23"/>
      <c r="E778" s="23"/>
      <c r="F778" s="24"/>
      <c r="G778" s="25"/>
      <c r="H778" s="25"/>
      <c r="I778" s="25"/>
      <c r="J778" s="25"/>
      <c r="K778" s="25"/>
      <c r="L778" s="24"/>
      <c r="M778" s="1"/>
    </row>
    <row r="779" ht="24.75" customHeight="1">
      <c r="A779" s="1"/>
      <c r="B779" s="22"/>
      <c r="C779" s="23"/>
      <c r="D779" s="23"/>
      <c r="E779" s="23"/>
      <c r="F779" s="24"/>
      <c r="G779" s="25"/>
      <c r="H779" s="25"/>
      <c r="I779" s="25"/>
      <c r="J779" s="25"/>
      <c r="K779" s="25"/>
      <c r="L779" s="24"/>
      <c r="M779" s="1"/>
    </row>
    <row r="780" ht="24.75" customHeight="1">
      <c r="A780" s="1"/>
      <c r="B780" s="22"/>
      <c r="C780" s="23"/>
      <c r="D780" s="23"/>
      <c r="E780" s="23"/>
      <c r="F780" s="24"/>
      <c r="G780" s="25"/>
      <c r="H780" s="25"/>
      <c r="I780" s="25"/>
      <c r="J780" s="25"/>
      <c r="K780" s="25"/>
      <c r="L780" s="24"/>
      <c r="M780" s="1"/>
    </row>
    <row r="781" ht="24.75" customHeight="1">
      <c r="A781" s="1"/>
      <c r="B781" s="22"/>
      <c r="C781" s="23"/>
      <c r="D781" s="23"/>
      <c r="E781" s="23"/>
      <c r="F781" s="24"/>
      <c r="G781" s="25"/>
      <c r="H781" s="25"/>
      <c r="I781" s="25"/>
      <c r="J781" s="25"/>
      <c r="K781" s="25"/>
      <c r="L781" s="24"/>
      <c r="M781" s="1"/>
    </row>
    <row r="782" ht="24.75" customHeight="1">
      <c r="A782" s="1"/>
      <c r="B782" s="22"/>
      <c r="C782" s="23"/>
      <c r="D782" s="23"/>
      <c r="E782" s="23"/>
      <c r="F782" s="24"/>
      <c r="G782" s="25"/>
      <c r="H782" s="25"/>
      <c r="I782" s="25"/>
      <c r="J782" s="25"/>
      <c r="K782" s="25"/>
      <c r="L782" s="24"/>
      <c r="M782" s="1"/>
    </row>
    <row r="783" ht="24.75" customHeight="1">
      <c r="A783" s="1"/>
      <c r="B783" s="22"/>
      <c r="C783" s="23"/>
      <c r="D783" s="23"/>
      <c r="E783" s="23"/>
      <c r="F783" s="24"/>
      <c r="G783" s="25"/>
      <c r="H783" s="25"/>
      <c r="I783" s="25"/>
      <c r="J783" s="25"/>
      <c r="K783" s="25"/>
      <c r="L783" s="24"/>
      <c r="M783" s="1"/>
    </row>
    <row r="784" ht="24.75" customHeight="1">
      <c r="A784" s="1"/>
      <c r="B784" s="22"/>
      <c r="C784" s="23"/>
      <c r="D784" s="23"/>
      <c r="E784" s="23"/>
      <c r="F784" s="24"/>
      <c r="G784" s="25"/>
      <c r="H784" s="25"/>
      <c r="I784" s="25"/>
      <c r="J784" s="25"/>
      <c r="K784" s="25"/>
      <c r="L784" s="24"/>
      <c r="M784" s="1"/>
    </row>
    <row r="785" ht="24.75" customHeight="1">
      <c r="A785" s="1"/>
      <c r="B785" s="22"/>
      <c r="C785" s="23"/>
      <c r="D785" s="23"/>
      <c r="E785" s="23"/>
      <c r="F785" s="24"/>
      <c r="G785" s="25"/>
      <c r="H785" s="25"/>
      <c r="I785" s="25"/>
      <c r="J785" s="25"/>
      <c r="K785" s="25"/>
      <c r="L785" s="24"/>
      <c r="M785" s="1"/>
    </row>
    <row r="786" ht="24.75" customHeight="1">
      <c r="A786" s="1"/>
      <c r="B786" s="22"/>
      <c r="C786" s="23"/>
      <c r="D786" s="23"/>
      <c r="E786" s="23"/>
      <c r="F786" s="24"/>
      <c r="G786" s="25"/>
      <c r="H786" s="25"/>
      <c r="I786" s="25"/>
      <c r="J786" s="25"/>
      <c r="K786" s="25"/>
      <c r="L786" s="24"/>
      <c r="M786" s="1"/>
    </row>
    <row r="787" ht="24.75" customHeight="1">
      <c r="A787" s="1"/>
      <c r="B787" s="22"/>
      <c r="C787" s="23"/>
      <c r="D787" s="23"/>
      <c r="E787" s="23"/>
      <c r="F787" s="24"/>
      <c r="G787" s="25"/>
      <c r="H787" s="25"/>
      <c r="I787" s="25"/>
      <c r="J787" s="25"/>
      <c r="K787" s="25"/>
      <c r="L787" s="24"/>
      <c r="M787" s="1"/>
    </row>
    <row r="788" ht="24.75" customHeight="1">
      <c r="A788" s="1"/>
      <c r="B788" s="22"/>
      <c r="C788" s="23"/>
      <c r="D788" s="23"/>
      <c r="E788" s="23"/>
      <c r="F788" s="24"/>
      <c r="G788" s="25"/>
      <c r="H788" s="25"/>
      <c r="I788" s="25"/>
      <c r="J788" s="25"/>
      <c r="K788" s="25"/>
      <c r="L788" s="24"/>
      <c r="M788" s="1"/>
    </row>
    <row r="789" ht="24.75" customHeight="1">
      <c r="A789" s="1"/>
      <c r="B789" s="22"/>
      <c r="C789" s="23"/>
      <c r="D789" s="23"/>
      <c r="E789" s="23"/>
      <c r="F789" s="24"/>
      <c r="G789" s="25"/>
      <c r="H789" s="25"/>
      <c r="I789" s="25"/>
      <c r="J789" s="25"/>
      <c r="K789" s="25"/>
      <c r="L789" s="24"/>
      <c r="M789" s="1"/>
    </row>
    <row r="790" ht="24.75" customHeight="1">
      <c r="A790" s="1"/>
      <c r="B790" s="22"/>
      <c r="C790" s="23"/>
      <c r="D790" s="23"/>
      <c r="E790" s="23"/>
      <c r="F790" s="24"/>
      <c r="G790" s="25"/>
      <c r="H790" s="25"/>
      <c r="I790" s="25"/>
      <c r="J790" s="25"/>
      <c r="K790" s="25"/>
      <c r="L790" s="24"/>
      <c r="M790" s="1"/>
    </row>
    <row r="791" ht="24.75" customHeight="1">
      <c r="A791" s="1"/>
      <c r="B791" s="22"/>
      <c r="C791" s="23"/>
      <c r="D791" s="23"/>
      <c r="E791" s="23"/>
      <c r="F791" s="24"/>
      <c r="G791" s="25"/>
      <c r="H791" s="25"/>
      <c r="I791" s="25"/>
      <c r="J791" s="25"/>
      <c r="K791" s="25"/>
      <c r="L791" s="24"/>
      <c r="M791" s="1"/>
    </row>
    <row r="792" ht="24.75" customHeight="1">
      <c r="A792" s="1"/>
      <c r="B792" s="22"/>
      <c r="C792" s="23"/>
      <c r="D792" s="23"/>
      <c r="E792" s="23"/>
      <c r="F792" s="24"/>
      <c r="G792" s="25"/>
      <c r="H792" s="25"/>
      <c r="I792" s="25"/>
      <c r="J792" s="25"/>
      <c r="K792" s="25"/>
      <c r="L792" s="24"/>
      <c r="M792" s="1"/>
    </row>
    <row r="793" ht="24.75" customHeight="1">
      <c r="A793" s="1"/>
      <c r="B793" s="22"/>
      <c r="C793" s="23"/>
      <c r="D793" s="23"/>
      <c r="E793" s="23"/>
      <c r="F793" s="24"/>
      <c r="G793" s="25"/>
      <c r="H793" s="25"/>
      <c r="I793" s="25"/>
      <c r="J793" s="25"/>
      <c r="K793" s="25"/>
      <c r="L793" s="24"/>
      <c r="M793" s="1"/>
    </row>
    <row r="794" ht="24.75" customHeight="1">
      <c r="A794" s="1"/>
      <c r="B794" s="22"/>
      <c r="C794" s="23"/>
      <c r="D794" s="23"/>
      <c r="E794" s="23"/>
      <c r="F794" s="24"/>
      <c r="G794" s="25"/>
      <c r="H794" s="25"/>
      <c r="I794" s="25"/>
      <c r="J794" s="25"/>
      <c r="K794" s="25"/>
      <c r="L794" s="24"/>
      <c r="M794" s="1"/>
    </row>
    <row r="795" ht="24.75" customHeight="1">
      <c r="A795" s="1"/>
      <c r="B795" s="22"/>
      <c r="C795" s="23"/>
      <c r="D795" s="23"/>
      <c r="E795" s="23"/>
      <c r="F795" s="24"/>
      <c r="G795" s="25"/>
      <c r="H795" s="25"/>
      <c r="I795" s="25"/>
      <c r="J795" s="25"/>
      <c r="K795" s="25"/>
      <c r="L795" s="24"/>
      <c r="M795" s="1"/>
    </row>
    <row r="796" ht="24.75" customHeight="1">
      <c r="A796" s="1"/>
      <c r="B796" s="22"/>
      <c r="C796" s="23"/>
      <c r="D796" s="23"/>
      <c r="E796" s="23"/>
      <c r="F796" s="24"/>
      <c r="G796" s="25"/>
      <c r="H796" s="25"/>
      <c r="I796" s="25"/>
      <c r="J796" s="25"/>
      <c r="K796" s="25"/>
      <c r="L796" s="24"/>
      <c r="M796" s="1"/>
    </row>
    <row r="797" ht="24.75" customHeight="1">
      <c r="A797" s="1"/>
      <c r="B797" s="22"/>
      <c r="C797" s="23"/>
      <c r="D797" s="23"/>
      <c r="E797" s="23"/>
      <c r="F797" s="24"/>
      <c r="G797" s="25"/>
      <c r="H797" s="25"/>
      <c r="I797" s="25"/>
      <c r="J797" s="25"/>
      <c r="K797" s="25"/>
      <c r="L797" s="24"/>
      <c r="M797" s="1"/>
    </row>
    <row r="798" ht="24.75" customHeight="1">
      <c r="A798" s="1"/>
      <c r="B798" s="22"/>
      <c r="C798" s="23"/>
      <c r="D798" s="23"/>
      <c r="E798" s="23"/>
      <c r="F798" s="24"/>
      <c r="G798" s="25"/>
      <c r="H798" s="25"/>
      <c r="I798" s="25"/>
      <c r="J798" s="25"/>
      <c r="K798" s="25"/>
      <c r="L798" s="24"/>
      <c r="M798" s="1"/>
    </row>
    <row r="799" ht="24.75" customHeight="1">
      <c r="A799" s="1"/>
      <c r="B799" s="22"/>
      <c r="C799" s="23"/>
      <c r="D799" s="23"/>
      <c r="E799" s="23"/>
      <c r="F799" s="24"/>
      <c r="G799" s="25"/>
      <c r="H799" s="25"/>
      <c r="I799" s="25"/>
      <c r="J799" s="25"/>
      <c r="K799" s="25"/>
      <c r="L799" s="24"/>
      <c r="M799" s="1"/>
    </row>
    <row r="800" ht="24.75" customHeight="1">
      <c r="A800" s="1"/>
      <c r="B800" s="22"/>
      <c r="C800" s="23"/>
      <c r="D800" s="23"/>
      <c r="E800" s="23"/>
      <c r="F800" s="24"/>
      <c r="G800" s="25"/>
      <c r="H800" s="25"/>
      <c r="I800" s="25"/>
      <c r="J800" s="25"/>
      <c r="K800" s="25"/>
      <c r="L800" s="24"/>
      <c r="M800" s="1"/>
    </row>
    <row r="801" ht="24.75" customHeight="1">
      <c r="A801" s="1"/>
      <c r="B801" s="22"/>
      <c r="C801" s="23"/>
      <c r="D801" s="23"/>
      <c r="E801" s="23"/>
      <c r="F801" s="24"/>
      <c r="G801" s="25"/>
      <c r="H801" s="25"/>
      <c r="I801" s="25"/>
      <c r="J801" s="25"/>
      <c r="K801" s="25"/>
      <c r="L801" s="24"/>
      <c r="M801" s="1"/>
    </row>
    <row r="802" ht="24.75" customHeight="1">
      <c r="A802" s="1"/>
      <c r="B802" s="22"/>
      <c r="C802" s="23"/>
      <c r="D802" s="23"/>
      <c r="E802" s="23"/>
      <c r="F802" s="24"/>
      <c r="G802" s="25"/>
      <c r="H802" s="25"/>
      <c r="I802" s="25"/>
      <c r="J802" s="25"/>
      <c r="K802" s="25"/>
      <c r="L802" s="24"/>
      <c r="M802" s="1"/>
    </row>
    <row r="803" ht="24.75" customHeight="1">
      <c r="A803" s="1"/>
      <c r="B803" s="22"/>
      <c r="C803" s="23"/>
      <c r="D803" s="23"/>
      <c r="E803" s="23"/>
      <c r="F803" s="24"/>
      <c r="G803" s="25"/>
      <c r="H803" s="25"/>
      <c r="I803" s="25"/>
      <c r="J803" s="25"/>
      <c r="K803" s="25"/>
      <c r="L803" s="24"/>
      <c r="M803" s="1"/>
    </row>
    <row r="804" ht="24.75" customHeight="1">
      <c r="A804" s="1"/>
      <c r="B804" s="22"/>
      <c r="C804" s="23"/>
      <c r="D804" s="23"/>
      <c r="E804" s="23"/>
      <c r="F804" s="24"/>
      <c r="G804" s="25"/>
      <c r="H804" s="25"/>
      <c r="I804" s="25"/>
      <c r="J804" s="25"/>
      <c r="K804" s="25"/>
      <c r="L804" s="24"/>
      <c r="M804" s="1"/>
    </row>
    <row r="805" ht="24.75" customHeight="1">
      <c r="A805" s="1"/>
      <c r="B805" s="22"/>
      <c r="C805" s="23"/>
      <c r="D805" s="23"/>
      <c r="E805" s="23"/>
      <c r="F805" s="24"/>
      <c r="G805" s="25"/>
      <c r="H805" s="25"/>
      <c r="I805" s="25"/>
      <c r="J805" s="25"/>
      <c r="K805" s="25"/>
      <c r="L805" s="24"/>
      <c r="M805" s="1"/>
    </row>
    <row r="806" ht="24.75" customHeight="1">
      <c r="A806" s="1"/>
      <c r="B806" s="22"/>
      <c r="C806" s="23"/>
      <c r="D806" s="23"/>
      <c r="E806" s="23"/>
      <c r="F806" s="24"/>
      <c r="G806" s="25"/>
      <c r="H806" s="25"/>
      <c r="I806" s="25"/>
      <c r="J806" s="25"/>
      <c r="K806" s="25"/>
      <c r="L806" s="24"/>
      <c r="M806" s="1"/>
    </row>
    <row r="807" ht="24.75" customHeight="1">
      <c r="A807" s="1"/>
      <c r="B807" s="22"/>
      <c r="C807" s="23"/>
      <c r="D807" s="23"/>
      <c r="E807" s="23"/>
      <c r="F807" s="24"/>
      <c r="G807" s="25"/>
      <c r="H807" s="25"/>
      <c r="I807" s="25"/>
      <c r="J807" s="25"/>
      <c r="K807" s="25"/>
      <c r="L807" s="24"/>
      <c r="M807" s="1"/>
    </row>
    <row r="808" ht="24.75" customHeight="1">
      <c r="A808" s="1"/>
      <c r="B808" s="22"/>
      <c r="C808" s="23"/>
      <c r="D808" s="23"/>
      <c r="E808" s="23"/>
      <c r="F808" s="24"/>
      <c r="G808" s="25"/>
      <c r="H808" s="25"/>
      <c r="I808" s="25"/>
      <c r="J808" s="25"/>
      <c r="K808" s="25"/>
      <c r="L808" s="24"/>
      <c r="M808" s="1"/>
    </row>
    <row r="809" ht="24.75" customHeight="1">
      <c r="A809" s="1"/>
      <c r="B809" s="22"/>
      <c r="C809" s="23"/>
      <c r="D809" s="23"/>
      <c r="E809" s="23"/>
      <c r="F809" s="24"/>
      <c r="G809" s="25"/>
      <c r="H809" s="25"/>
      <c r="I809" s="25"/>
      <c r="J809" s="25"/>
      <c r="K809" s="25"/>
      <c r="L809" s="24"/>
      <c r="M809" s="1"/>
    </row>
    <row r="810" ht="24.75" customHeight="1">
      <c r="A810" s="1"/>
      <c r="B810" s="22"/>
      <c r="C810" s="23"/>
      <c r="D810" s="23"/>
      <c r="E810" s="23"/>
      <c r="F810" s="24"/>
      <c r="G810" s="25"/>
      <c r="H810" s="25"/>
      <c r="I810" s="25"/>
      <c r="J810" s="25"/>
      <c r="K810" s="25"/>
      <c r="L810" s="24"/>
      <c r="M810" s="1"/>
    </row>
    <row r="811" ht="24.75" customHeight="1">
      <c r="A811" s="1"/>
      <c r="B811" s="22"/>
      <c r="C811" s="23"/>
      <c r="D811" s="23"/>
      <c r="E811" s="23"/>
      <c r="F811" s="24"/>
      <c r="G811" s="25"/>
      <c r="H811" s="25"/>
      <c r="I811" s="25"/>
      <c r="J811" s="25"/>
      <c r="K811" s="25"/>
      <c r="L811" s="24"/>
      <c r="M811" s="1"/>
    </row>
    <row r="812" ht="24.75" customHeight="1">
      <c r="A812" s="1"/>
      <c r="B812" s="22"/>
      <c r="C812" s="23"/>
      <c r="D812" s="23"/>
      <c r="E812" s="23"/>
      <c r="F812" s="24"/>
      <c r="G812" s="25"/>
      <c r="H812" s="25"/>
      <c r="I812" s="25"/>
      <c r="J812" s="25"/>
      <c r="K812" s="25"/>
      <c r="L812" s="24"/>
      <c r="M812" s="1"/>
    </row>
    <row r="813" ht="24.75" customHeight="1">
      <c r="A813" s="1"/>
      <c r="B813" s="22"/>
      <c r="C813" s="23"/>
      <c r="D813" s="23"/>
      <c r="E813" s="23"/>
      <c r="F813" s="24"/>
      <c r="G813" s="25"/>
      <c r="H813" s="25"/>
      <c r="I813" s="25"/>
      <c r="J813" s="25"/>
      <c r="K813" s="25"/>
      <c r="L813" s="24"/>
      <c r="M813" s="1"/>
    </row>
    <row r="814" ht="24.75" customHeight="1">
      <c r="A814" s="1"/>
      <c r="B814" s="22"/>
      <c r="C814" s="23"/>
      <c r="D814" s="23"/>
      <c r="E814" s="23"/>
      <c r="F814" s="24"/>
      <c r="G814" s="25"/>
      <c r="H814" s="25"/>
      <c r="I814" s="25"/>
      <c r="J814" s="25"/>
      <c r="K814" s="25"/>
      <c r="L814" s="24"/>
      <c r="M814" s="1"/>
    </row>
    <row r="815" ht="24.75" customHeight="1">
      <c r="A815" s="1"/>
      <c r="B815" s="22"/>
      <c r="C815" s="23"/>
      <c r="D815" s="23"/>
      <c r="E815" s="23"/>
      <c r="F815" s="24"/>
      <c r="G815" s="25"/>
      <c r="H815" s="25"/>
      <c r="I815" s="25"/>
      <c r="J815" s="25"/>
      <c r="K815" s="25"/>
      <c r="L815" s="24"/>
      <c r="M815" s="1"/>
    </row>
    <row r="816" ht="24.75" customHeight="1">
      <c r="A816" s="1"/>
      <c r="B816" s="22"/>
      <c r="C816" s="23"/>
      <c r="D816" s="23"/>
      <c r="E816" s="23"/>
      <c r="F816" s="24"/>
      <c r="G816" s="25"/>
      <c r="H816" s="25"/>
      <c r="I816" s="25"/>
      <c r="J816" s="25"/>
      <c r="K816" s="25"/>
      <c r="L816" s="24"/>
      <c r="M816" s="1"/>
    </row>
    <row r="817" ht="24.75" customHeight="1">
      <c r="A817" s="1"/>
      <c r="B817" s="22"/>
      <c r="C817" s="23"/>
      <c r="D817" s="23"/>
      <c r="E817" s="23"/>
      <c r="F817" s="24"/>
      <c r="G817" s="25"/>
      <c r="H817" s="25"/>
      <c r="I817" s="25"/>
      <c r="J817" s="25"/>
      <c r="K817" s="25"/>
      <c r="L817" s="24"/>
      <c r="M817" s="1"/>
    </row>
    <row r="818" ht="24.75" customHeight="1">
      <c r="A818" s="1"/>
      <c r="B818" s="22"/>
      <c r="C818" s="23"/>
      <c r="D818" s="23"/>
      <c r="E818" s="23"/>
      <c r="F818" s="24"/>
      <c r="G818" s="25"/>
      <c r="H818" s="25"/>
      <c r="I818" s="25"/>
      <c r="J818" s="25"/>
      <c r="K818" s="25"/>
      <c r="L818" s="24"/>
      <c r="M818" s="1"/>
    </row>
    <row r="819" ht="24.75" customHeight="1">
      <c r="A819" s="1"/>
      <c r="B819" s="22"/>
      <c r="C819" s="23"/>
      <c r="D819" s="23"/>
      <c r="E819" s="23"/>
      <c r="F819" s="24"/>
      <c r="G819" s="25"/>
      <c r="H819" s="25"/>
      <c r="I819" s="25"/>
      <c r="J819" s="25"/>
      <c r="K819" s="25"/>
      <c r="L819" s="24"/>
      <c r="M819" s="1"/>
    </row>
    <row r="820" ht="24.75" customHeight="1">
      <c r="A820" s="1"/>
      <c r="B820" s="22"/>
      <c r="C820" s="23"/>
      <c r="D820" s="23"/>
      <c r="E820" s="23"/>
      <c r="F820" s="24"/>
      <c r="G820" s="25"/>
      <c r="H820" s="25"/>
      <c r="I820" s="25"/>
      <c r="J820" s="25"/>
      <c r="K820" s="25"/>
      <c r="L820" s="24"/>
      <c r="M820" s="1"/>
    </row>
    <row r="821" ht="24.75" customHeight="1">
      <c r="A821" s="1"/>
      <c r="B821" s="22"/>
      <c r="C821" s="23"/>
      <c r="D821" s="23"/>
      <c r="E821" s="23"/>
      <c r="F821" s="24"/>
      <c r="G821" s="25"/>
      <c r="H821" s="25"/>
      <c r="I821" s="25"/>
      <c r="J821" s="25"/>
      <c r="K821" s="25"/>
      <c r="L821" s="24"/>
      <c r="M821" s="1"/>
    </row>
    <row r="822" ht="24.75" customHeight="1">
      <c r="A822" s="1"/>
      <c r="B822" s="22"/>
      <c r="C822" s="23"/>
      <c r="D822" s="23"/>
      <c r="E822" s="23"/>
      <c r="F822" s="24"/>
      <c r="G822" s="25"/>
      <c r="H822" s="25"/>
      <c r="I822" s="25"/>
      <c r="J822" s="25"/>
      <c r="K822" s="25"/>
      <c r="L822" s="24"/>
      <c r="M822" s="1"/>
    </row>
    <row r="823" ht="24.75" customHeight="1">
      <c r="A823" s="1"/>
      <c r="B823" s="22"/>
      <c r="C823" s="23"/>
      <c r="D823" s="23"/>
      <c r="E823" s="23"/>
      <c r="F823" s="24"/>
      <c r="G823" s="25"/>
      <c r="H823" s="25"/>
      <c r="I823" s="25"/>
      <c r="J823" s="25"/>
      <c r="K823" s="25"/>
      <c r="L823" s="24"/>
      <c r="M823" s="1"/>
    </row>
    <row r="824" ht="24.75" customHeight="1">
      <c r="A824" s="1"/>
      <c r="B824" s="22"/>
      <c r="C824" s="23"/>
      <c r="D824" s="23"/>
      <c r="E824" s="23"/>
      <c r="F824" s="24"/>
      <c r="G824" s="25"/>
      <c r="H824" s="25"/>
      <c r="I824" s="25"/>
      <c r="J824" s="25"/>
      <c r="K824" s="25"/>
      <c r="L824" s="24"/>
      <c r="M824" s="1"/>
    </row>
    <row r="825" ht="24.75" customHeight="1">
      <c r="A825" s="1"/>
      <c r="B825" s="22"/>
      <c r="C825" s="23"/>
      <c r="D825" s="23"/>
      <c r="E825" s="23"/>
      <c r="F825" s="24"/>
      <c r="G825" s="25"/>
      <c r="H825" s="25"/>
      <c r="I825" s="25"/>
      <c r="J825" s="25"/>
      <c r="K825" s="25"/>
      <c r="L825" s="24"/>
      <c r="M825" s="1"/>
    </row>
    <row r="826" ht="24.75" customHeight="1">
      <c r="A826" s="1"/>
      <c r="B826" s="22"/>
      <c r="C826" s="23"/>
      <c r="D826" s="23"/>
      <c r="E826" s="23"/>
      <c r="F826" s="24"/>
      <c r="G826" s="25"/>
      <c r="H826" s="25"/>
      <c r="I826" s="25"/>
      <c r="J826" s="25"/>
      <c r="K826" s="25"/>
      <c r="L826" s="24"/>
      <c r="M826" s="1"/>
    </row>
    <row r="827" ht="24.75" customHeight="1">
      <c r="A827" s="1"/>
      <c r="B827" s="22"/>
      <c r="C827" s="23"/>
      <c r="D827" s="23"/>
      <c r="E827" s="23"/>
      <c r="F827" s="24"/>
      <c r="G827" s="25"/>
      <c r="H827" s="25"/>
      <c r="I827" s="25"/>
      <c r="J827" s="25"/>
      <c r="K827" s="25"/>
      <c r="L827" s="24"/>
      <c r="M827" s="1"/>
    </row>
    <row r="828" ht="24.75" customHeight="1">
      <c r="A828" s="1"/>
      <c r="B828" s="22"/>
      <c r="C828" s="23"/>
      <c r="D828" s="23"/>
      <c r="E828" s="23"/>
      <c r="F828" s="24"/>
      <c r="G828" s="25"/>
      <c r="H828" s="25"/>
      <c r="I828" s="25"/>
      <c r="J828" s="25"/>
      <c r="K828" s="25"/>
      <c r="L828" s="24"/>
      <c r="M828" s="1"/>
    </row>
    <row r="829" ht="24.75" customHeight="1">
      <c r="A829" s="1"/>
      <c r="B829" s="22"/>
      <c r="C829" s="23"/>
      <c r="D829" s="23"/>
      <c r="E829" s="23"/>
      <c r="F829" s="24"/>
      <c r="G829" s="25"/>
      <c r="H829" s="25"/>
      <c r="I829" s="25"/>
      <c r="J829" s="25"/>
      <c r="K829" s="25"/>
      <c r="L829" s="24"/>
      <c r="M829" s="1"/>
    </row>
    <row r="830" ht="24.75" customHeight="1">
      <c r="A830" s="1"/>
      <c r="B830" s="22"/>
      <c r="C830" s="23"/>
      <c r="D830" s="23"/>
      <c r="E830" s="23"/>
      <c r="F830" s="24"/>
      <c r="G830" s="25"/>
      <c r="H830" s="25"/>
      <c r="I830" s="25"/>
      <c r="J830" s="25"/>
      <c r="K830" s="25"/>
      <c r="L830" s="24"/>
      <c r="M830" s="1"/>
    </row>
    <row r="831" ht="24.75" customHeight="1">
      <c r="A831" s="1"/>
      <c r="B831" s="22"/>
      <c r="C831" s="23"/>
      <c r="D831" s="23"/>
      <c r="E831" s="23"/>
      <c r="F831" s="24"/>
      <c r="G831" s="25"/>
      <c r="H831" s="25"/>
      <c r="I831" s="25"/>
      <c r="J831" s="25"/>
      <c r="K831" s="25"/>
      <c r="L831" s="24"/>
      <c r="M831" s="1"/>
    </row>
    <row r="832" ht="24.75" customHeight="1">
      <c r="A832" s="1"/>
      <c r="B832" s="22"/>
      <c r="C832" s="23"/>
      <c r="D832" s="23"/>
      <c r="E832" s="23"/>
      <c r="F832" s="24"/>
      <c r="G832" s="25"/>
      <c r="H832" s="25"/>
      <c r="I832" s="25"/>
      <c r="J832" s="25"/>
      <c r="K832" s="25"/>
      <c r="L832" s="24"/>
      <c r="M832" s="1"/>
    </row>
    <row r="833" ht="24.75" customHeight="1">
      <c r="A833" s="1"/>
      <c r="B833" s="22"/>
      <c r="C833" s="23"/>
      <c r="D833" s="23"/>
      <c r="E833" s="23"/>
      <c r="F833" s="24"/>
      <c r="G833" s="25"/>
      <c r="H833" s="25"/>
      <c r="I833" s="25"/>
      <c r="J833" s="25"/>
      <c r="K833" s="25"/>
      <c r="L833" s="24"/>
      <c r="M833" s="1"/>
    </row>
    <row r="834" ht="24.75" customHeight="1">
      <c r="A834" s="1"/>
      <c r="B834" s="22"/>
      <c r="C834" s="23"/>
      <c r="D834" s="23"/>
      <c r="E834" s="23"/>
      <c r="F834" s="24"/>
      <c r="G834" s="25"/>
      <c r="H834" s="25"/>
      <c r="I834" s="25"/>
      <c r="J834" s="25"/>
      <c r="K834" s="25"/>
      <c r="L834" s="24"/>
      <c r="M834" s="1"/>
    </row>
    <row r="835" ht="24.75" customHeight="1">
      <c r="A835" s="1"/>
      <c r="B835" s="22"/>
      <c r="C835" s="23"/>
      <c r="D835" s="23"/>
      <c r="E835" s="23"/>
      <c r="F835" s="24"/>
      <c r="G835" s="25"/>
      <c r="H835" s="25"/>
      <c r="I835" s="25"/>
      <c r="J835" s="25"/>
      <c r="K835" s="25"/>
      <c r="L835" s="24"/>
      <c r="M835" s="1"/>
    </row>
    <row r="836" ht="24.75" customHeight="1">
      <c r="A836" s="1"/>
      <c r="B836" s="22"/>
      <c r="C836" s="23"/>
      <c r="D836" s="23"/>
      <c r="E836" s="23"/>
      <c r="F836" s="24"/>
      <c r="G836" s="25"/>
      <c r="H836" s="25"/>
      <c r="I836" s="25"/>
      <c r="J836" s="25"/>
      <c r="K836" s="25"/>
      <c r="L836" s="24"/>
      <c r="M836" s="1"/>
    </row>
    <row r="837" ht="24.75" customHeight="1">
      <c r="A837" s="1"/>
      <c r="B837" s="22"/>
      <c r="C837" s="23"/>
      <c r="D837" s="23"/>
      <c r="E837" s="23"/>
      <c r="F837" s="24"/>
      <c r="G837" s="25"/>
      <c r="H837" s="25"/>
      <c r="I837" s="25"/>
      <c r="J837" s="25"/>
      <c r="K837" s="25"/>
      <c r="L837" s="24"/>
      <c r="M837" s="1"/>
    </row>
    <row r="838" ht="24.75" customHeight="1">
      <c r="A838" s="1"/>
      <c r="B838" s="22"/>
      <c r="C838" s="23"/>
      <c r="D838" s="23"/>
      <c r="E838" s="23"/>
      <c r="F838" s="24"/>
      <c r="G838" s="25"/>
      <c r="H838" s="25"/>
      <c r="I838" s="25"/>
      <c r="J838" s="25"/>
      <c r="K838" s="25"/>
      <c r="L838" s="24"/>
      <c r="M838" s="1"/>
    </row>
    <row r="839" ht="24.75" customHeight="1">
      <c r="A839" s="1"/>
      <c r="B839" s="22"/>
      <c r="C839" s="23"/>
      <c r="D839" s="23"/>
      <c r="E839" s="23"/>
      <c r="F839" s="24"/>
      <c r="G839" s="25"/>
      <c r="H839" s="25"/>
      <c r="I839" s="25"/>
      <c r="J839" s="25"/>
      <c r="K839" s="25"/>
      <c r="L839" s="24"/>
      <c r="M839" s="1"/>
    </row>
    <row r="840" ht="24.75" customHeight="1">
      <c r="A840" s="1"/>
      <c r="B840" s="22"/>
      <c r="C840" s="23"/>
      <c r="D840" s="23"/>
      <c r="E840" s="23"/>
      <c r="F840" s="24"/>
      <c r="G840" s="25"/>
      <c r="H840" s="25"/>
      <c r="I840" s="25"/>
      <c r="J840" s="25"/>
      <c r="K840" s="25"/>
      <c r="L840" s="24"/>
      <c r="M840" s="1"/>
    </row>
    <row r="841" ht="24.75" customHeight="1">
      <c r="A841" s="1"/>
      <c r="B841" s="22"/>
      <c r="C841" s="23"/>
      <c r="D841" s="23"/>
      <c r="E841" s="23"/>
      <c r="F841" s="24"/>
      <c r="G841" s="25"/>
      <c r="H841" s="25"/>
      <c r="I841" s="25"/>
      <c r="J841" s="25"/>
      <c r="K841" s="25"/>
      <c r="L841" s="24"/>
      <c r="M841" s="1"/>
    </row>
    <row r="842" ht="24.75" customHeight="1">
      <c r="A842" s="1"/>
      <c r="B842" s="22"/>
      <c r="C842" s="23"/>
      <c r="D842" s="23"/>
      <c r="E842" s="23"/>
      <c r="F842" s="24"/>
      <c r="G842" s="25"/>
      <c r="H842" s="25"/>
      <c r="I842" s="25"/>
      <c r="J842" s="25"/>
      <c r="K842" s="25"/>
      <c r="L842" s="24"/>
      <c r="M842" s="1"/>
    </row>
    <row r="843" ht="24.75" customHeight="1">
      <c r="A843" s="1"/>
      <c r="B843" s="22"/>
      <c r="C843" s="23"/>
      <c r="D843" s="23"/>
      <c r="E843" s="23"/>
      <c r="F843" s="24"/>
      <c r="G843" s="25"/>
      <c r="H843" s="25"/>
      <c r="I843" s="25"/>
      <c r="J843" s="25"/>
      <c r="K843" s="25"/>
      <c r="L843" s="24"/>
      <c r="M843" s="1"/>
    </row>
    <row r="844" ht="24.75" customHeight="1">
      <c r="A844" s="1"/>
      <c r="B844" s="22"/>
      <c r="C844" s="23"/>
      <c r="D844" s="23"/>
      <c r="E844" s="23"/>
      <c r="F844" s="24"/>
      <c r="G844" s="25"/>
      <c r="H844" s="25"/>
      <c r="I844" s="25"/>
      <c r="J844" s="25"/>
      <c r="K844" s="25"/>
      <c r="L844" s="24"/>
      <c r="M844" s="1"/>
    </row>
    <row r="845" ht="24.75" customHeight="1">
      <c r="A845" s="1"/>
      <c r="B845" s="22"/>
      <c r="C845" s="23"/>
      <c r="D845" s="23"/>
      <c r="E845" s="23"/>
      <c r="F845" s="24"/>
      <c r="G845" s="25"/>
      <c r="H845" s="25"/>
      <c r="I845" s="25"/>
      <c r="J845" s="25"/>
      <c r="K845" s="25"/>
      <c r="L845" s="24"/>
      <c r="M845" s="1"/>
    </row>
    <row r="846" ht="24.75" customHeight="1">
      <c r="A846" s="1"/>
      <c r="B846" s="22"/>
      <c r="C846" s="23"/>
      <c r="D846" s="23"/>
      <c r="E846" s="23"/>
      <c r="F846" s="24"/>
      <c r="G846" s="25"/>
      <c r="H846" s="25"/>
      <c r="I846" s="25"/>
      <c r="J846" s="25"/>
      <c r="K846" s="25"/>
      <c r="L846" s="24"/>
      <c r="M846" s="1"/>
    </row>
    <row r="847" ht="24.75" customHeight="1">
      <c r="A847" s="1"/>
      <c r="B847" s="22"/>
      <c r="C847" s="23"/>
      <c r="D847" s="23"/>
      <c r="E847" s="23"/>
      <c r="F847" s="24"/>
      <c r="G847" s="25"/>
      <c r="H847" s="25"/>
      <c r="I847" s="25"/>
      <c r="J847" s="25"/>
      <c r="K847" s="25"/>
      <c r="L847" s="24"/>
      <c r="M847" s="1"/>
    </row>
    <row r="848" ht="24.75" customHeight="1">
      <c r="A848" s="1"/>
      <c r="B848" s="22"/>
      <c r="C848" s="23"/>
      <c r="D848" s="23"/>
      <c r="E848" s="23"/>
      <c r="F848" s="24"/>
      <c r="G848" s="25"/>
      <c r="H848" s="25"/>
      <c r="I848" s="25"/>
      <c r="J848" s="25"/>
      <c r="K848" s="25"/>
      <c r="L848" s="24"/>
      <c r="M848" s="1"/>
    </row>
    <row r="849" ht="24.75" customHeight="1">
      <c r="A849" s="1"/>
      <c r="B849" s="22"/>
      <c r="C849" s="23"/>
      <c r="D849" s="23"/>
      <c r="E849" s="23"/>
      <c r="F849" s="24"/>
      <c r="G849" s="25"/>
      <c r="H849" s="25"/>
      <c r="I849" s="25"/>
      <c r="J849" s="25"/>
      <c r="K849" s="25"/>
      <c r="L849" s="24"/>
      <c r="M849" s="1"/>
    </row>
    <row r="850" ht="24.75" customHeight="1">
      <c r="A850" s="1"/>
      <c r="B850" s="22"/>
      <c r="C850" s="23"/>
      <c r="D850" s="23"/>
      <c r="E850" s="23"/>
      <c r="F850" s="24"/>
      <c r="G850" s="25"/>
      <c r="H850" s="25"/>
      <c r="I850" s="25"/>
      <c r="J850" s="25"/>
      <c r="K850" s="25"/>
      <c r="L850" s="24"/>
      <c r="M850" s="1"/>
    </row>
    <row r="851" ht="24.75" customHeight="1">
      <c r="A851" s="1"/>
      <c r="B851" s="22"/>
      <c r="C851" s="23"/>
      <c r="D851" s="23"/>
      <c r="E851" s="23"/>
      <c r="F851" s="24"/>
      <c r="G851" s="25"/>
      <c r="H851" s="25"/>
      <c r="I851" s="25"/>
      <c r="J851" s="25"/>
      <c r="K851" s="25"/>
      <c r="L851" s="24"/>
      <c r="M851" s="1"/>
    </row>
    <row r="852" ht="24.75" customHeight="1">
      <c r="A852" s="1"/>
      <c r="B852" s="22"/>
      <c r="C852" s="23"/>
      <c r="D852" s="23"/>
      <c r="E852" s="23"/>
      <c r="F852" s="24"/>
      <c r="G852" s="25"/>
      <c r="H852" s="25"/>
      <c r="I852" s="25"/>
      <c r="J852" s="25"/>
      <c r="K852" s="25"/>
      <c r="L852" s="24"/>
      <c r="M852" s="1"/>
    </row>
    <row r="853" ht="24.75" customHeight="1">
      <c r="A853" s="1"/>
      <c r="B853" s="22"/>
      <c r="C853" s="23"/>
      <c r="D853" s="23"/>
      <c r="E853" s="23"/>
      <c r="F853" s="24"/>
      <c r="G853" s="25"/>
      <c r="H853" s="25"/>
      <c r="I853" s="25"/>
      <c r="J853" s="25"/>
      <c r="K853" s="25"/>
      <c r="L853" s="24"/>
      <c r="M853" s="1"/>
    </row>
    <row r="854" ht="24.75" customHeight="1">
      <c r="A854" s="1"/>
      <c r="B854" s="22"/>
      <c r="C854" s="23"/>
      <c r="D854" s="23"/>
      <c r="E854" s="23"/>
      <c r="F854" s="24"/>
      <c r="G854" s="25"/>
      <c r="H854" s="25"/>
      <c r="I854" s="25"/>
      <c r="J854" s="25"/>
      <c r="K854" s="25"/>
      <c r="L854" s="24"/>
      <c r="M854" s="1"/>
    </row>
    <row r="855" ht="24.75" customHeight="1">
      <c r="A855" s="1"/>
      <c r="B855" s="22"/>
      <c r="C855" s="23"/>
      <c r="D855" s="23"/>
      <c r="E855" s="23"/>
      <c r="F855" s="24"/>
      <c r="G855" s="25"/>
      <c r="H855" s="25"/>
      <c r="I855" s="25"/>
      <c r="J855" s="25"/>
      <c r="K855" s="25"/>
      <c r="L855" s="24"/>
      <c r="M855" s="1"/>
    </row>
    <row r="856" ht="24.75" customHeight="1">
      <c r="A856" s="1"/>
      <c r="B856" s="22"/>
      <c r="C856" s="23"/>
      <c r="D856" s="23"/>
      <c r="E856" s="23"/>
      <c r="F856" s="24"/>
      <c r="G856" s="25"/>
      <c r="H856" s="25"/>
      <c r="I856" s="25"/>
      <c r="J856" s="25"/>
      <c r="K856" s="25"/>
      <c r="L856" s="24"/>
      <c r="M856" s="1"/>
    </row>
    <row r="857" ht="24.75" customHeight="1">
      <c r="A857" s="1"/>
      <c r="B857" s="22"/>
      <c r="C857" s="23"/>
      <c r="D857" s="23"/>
      <c r="E857" s="23"/>
      <c r="F857" s="24"/>
      <c r="G857" s="25"/>
      <c r="H857" s="25"/>
      <c r="I857" s="25"/>
      <c r="J857" s="25"/>
      <c r="K857" s="25"/>
      <c r="L857" s="24"/>
      <c r="M857" s="1"/>
    </row>
    <row r="858" ht="24.75" customHeight="1">
      <c r="A858" s="1"/>
      <c r="B858" s="22"/>
      <c r="C858" s="23"/>
      <c r="D858" s="23"/>
      <c r="E858" s="23"/>
      <c r="F858" s="24"/>
      <c r="G858" s="25"/>
      <c r="H858" s="25"/>
      <c r="I858" s="25"/>
      <c r="J858" s="25"/>
      <c r="K858" s="25"/>
      <c r="L858" s="24"/>
      <c r="M858" s="1"/>
    </row>
    <row r="859" ht="24.75" customHeight="1">
      <c r="A859" s="1"/>
      <c r="B859" s="22"/>
      <c r="C859" s="23"/>
      <c r="D859" s="23"/>
      <c r="E859" s="23"/>
      <c r="F859" s="24"/>
      <c r="G859" s="25"/>
      <c r="H859" s="25"/>
      <c r="I859" s="25"/>
      <c r="J859" s="25"/>
      <c r="K859" s="25"/>
      <c r="L859" s="24"/>
      <c r="M859" s="1"/>
    </row>
    <row r="860" ht="24.75" customHeight="1">
      <c r="A860" s="1"/>
      <c r="B860" s="22"/>
      <c r="C860" s="23"/>
      <c r="D860" s="23"/>
      <c r="E860" s="23"/>
      <c r="F860" s="24"/>
      <c r="G860" s="25"/>
      <c r="H860" s="25"/>
      <c r="I860" s="25"/>
      <c r="J860" s="25"/>
      <c r="K860" s="25"/>
      <c r="L860" s="24"/>
      <c r="M860" s="1"/>
    </row>
    <row r="861" ht="24.75" customHeight="1">
      <c r="A861" s="1"/>
      <c r="B861" s="22"/>
      <c r="C861" s="23"/>
      <c r="D861" s="23"/>
      <c r="E861" s="23"/>
      <c r="F861" s="24"/>
      <c r="G861" s="25"/>
      <c r="H861" s="25"/>
      <c r="I861" s="25"/>
      <c r="J861" s="25"/>
      <c r="K861" s="25"/>
      <c r="L861" s="24"/>
      <c r="M861" s="1"/>
    </row>
    <row r="862" ht="24.75" customHeight="1">
      <c r="A862" s="1"/>
      <c r="B862" s="22"/>
      <c r="C862" s="23"/>
      <c r="D862" s="23"/>
      <c r="E862" s="23"/>
      <c r="F862" s="24"/>
      <c r="G862" s="25"/>
      <c r="H862" s="25"/>
      <c r="I862" s="25"/>
      <c r="J862" s="25"/>
      <c r="K862" s="25"/>
      <c r="L862" s="24"/>
      <c r="M862" s="1"/>
    </row>
    <row r="863" ht="24.75" customHeight="1">
      <c r="A863" s="1"/>
      <c r="B863" s="22"/>
      <c r="C863" s="23"/>
      <c r="D863" s="23"/>
      <c r="E863" s="23"/>
      <c r="F863" s="24"/>
      <c r="G863" s="25"/>
      <c r="H863" s="25"/>
      <c r="I863" s="25"/>
      <c r="J863" s="25"/>
      <c r="K863" s="25"/>
      <c r="L863" s="24"/>
      <c r="M863" s="1"/>
    </row>
    <row r="864" ht="24.75" customHeight="1">
      <c r="A864" s="1"/>
      <c r="B864" s="22"/>
      <c r="C864" s="23"/>
      <c r="D864" s="23"/>
      <c r="E864" s="23"/>
      <c r="F864" s="24"/>
      <c r="G864" s="25"/>
      <c r="H864" s="25"/>
      <c r="I864" s="25"/>
      <c r="J864" s="25"/>
      <c r="K864" s="25"/>
      <c r="L864" s="24"/>
      <c r="M864" s="1"/>
    </row>
    <row r="865" ht="24.75" customHeight="1">
      <c r="A865" s="1"/>
      <c r="B865" s="22"/>
      <c r="C865" s="23"/>
      <c r="D865" s="23"/>
      <c r="E865" s="23"/>
      <c r="F865" s="24"/>
      <c r="G865" s="25"/>
      <c r="H865" s="25"/>
      <c r="I865" s="25"/>
      <c r="J865" s="25"/>
      <c r="K865" s="25"/>
      <c r="L865" s="24"/>
      <c r="M865" s="1"/>
    </row>
    <row r="866" ht="24.75" customHeight="1">
      <c r="A866" s="1"/>
      <c r="B866" s="22"/>
      <c r="C866" s="23"/>
      <c r="D866" s="23"/>
      <c r="E866" s="23"/>
      <c r="F866" s="24"/>
      <c r="G866" s="25"/>
      <c r="H866" s="25"/>
      <c r="I866" s="25"/>
      <c r="J866" s="25"/>
      <c r="K866" s="25"/>
      <c r="L866" s="24"/>
      <c r="M866" s="1"/>
    </row>
    <row r="867" ht="24.75" customHeight="1">
      <c r="A867" s="1"/>
      <c r="B867" s="22"/>
      <c r="C867" s="23"/>
      <c r="D867" s="23"/>
      <c r="E867" s="23"/>
      <c r="F867" s="24"/>
      <c r="G867" s="25"/>
      <c r="H867" s="25"/>
      <c r="I867" s="25"/>
      <c r="J867" s="25"/>
      <c r="K867" s="25"/>
      <c r="L867" s="24"/>
      <c r="M867" s="1"/>
    </row>
    <row r="868" ht="24.75" customHeight="1">
      <c r="A868" s="1"/>
      <c r="B868" s="22"/>
      <c r="C868" s="23"/>
      <c r="D868" s="23"/>
      <c r="E868" s="23"/>
      <c r="F868" s="24"/>
      <c r="G868" s="25"/>
      <c r="H868" s="25"/>
      <c r="I868" s="25"/>
      <c r="J868" s="25"/>
      <c r="K868" s="25"/>
      <c r="L868" s="24"/>
      <c r="M868" s="1"/>
    </row>
    <row r="869" ht="24.75" customHeight="1">
      <c r="A869" s="1"/>
      <c r="B869" s="22"/>
      <c r="C869" s="23"/>
      <c r="D869" s="23"/>
      <c r="E869" s="23"/>
      <c r="F869" s="24"/>
      <c r="G869" s="25"/>
      <c r="H869" s="25"/>
      <c r="I869" s="25"/>
      <c r="J869" s="25"/>
      <c r="K869" s="25"/>
      <c r="L869" s="24"/>
      <c r="M869" s="1"/>
    </row>
    <row r="870" ht="24.75" customHeight="1">
      <c r="A870" s="1"/>
      <c r="B870" s="22"/>
      <c r="C870" s="23"/>
      <c r="D870" s="23"/>
      <c r="E870" s="23"/>
      <c r="F870" s="24"/>
      <c r="G870" s="25"/>
      <c r="H870" s="25"/>
      <c r="I870" s="25"/>
      <c r="J870" s="25"/>
      <c r="K870" s="25"/>
      <c r="L870" s="24"/>
      <c r="M870" s="1"/>
    </row>
    <row r="871" ht="24.75" customHeight="1">
      <c r="A871" s="1"/>
      <c r="B871" s="22"/>
      <c r="C871" s="23"/>
      <c r="D871" s="23"/>
      <c r="E871" s="23"/>
      <c r="F871" s="24"/>
      <c r="G871" s="25"/>
      <c r="H871" s="25"/>
      <c r="I871" s="25"/>
      <c r="J871" s="25"/>
      <c r="K871" s="25"/>
      <c r="L871" s="24"/>
      <c r="M871" s="1"/>
    </row>
    <row r="872" ht="24.75" customHeight="1">
      <c r="A872" s="1"/>
      <c r="B872" s="22"/>
      <c r="C872" s="23"/>
      <c r="D872" s="23"/>
      <c r="E872" s="23"/>
      <c r="F872" s="24"/>
      <c r="G872" s="25"/>
      <c r="H872" s="25"/>
      <c r="I872" s="25"/>
      <c r="J872" s="25"/>
      <c r="K872" s="25"/>
      <c r="L872" s="24"/>
      <c r="M872" s="1"/>
    </row>
    <row r="873" ht="24.75" customHeight="1">
      <c r="A873" s="1"/>
      <c r="B873" s="22"/>
      <c r="C873" s="23"/>
      <c r="D873" s="23"/>
      <c r="E873" s="23"/>
      <c r="F873" s="24"/>
      <c r="G873" s="25"/>
      <c r="H873" s="25"/>
      <c r="I873" s="25"/>
      <c r="J873" s="25"/>
      <c r="K873" s="25"/>
      <c r="L873" s="24"/>
      <c r="M873" s="1"/>
    </row>
    <row r="874" ht="24.75" customHeight="1">
      <c r="A874" s="1"/>
      <c r="B874" s="22"/>
      <c r="C874" s="23"/>
      <c r="D874" s="23"/>
      <c r="E874" s="23"/>
      <c r="F874" s="24"/>
      <c r="G874" s="25"/>
      <c r="H874" s="25"/>
      <c r="I874" s="25"/>
      <c r="J874" s="25"/>
      <c r="K874" s="25"/>
      <c r="L874" s="24"/>
      <c r="M874" s="1"/>
    </row>
    <row r="875" ht="24.75" customHeight="1">
      <c r="A875" s="1"/>
      <c r="B875" s="22"/>
      <c r="C875" s="23"/>
      <c r="D875" s="23"/>
      <c r="E875" s="23"/>
      <c r="F875" s="24"/>
      <c r="G875" s="25"/>
      <c r="H875" s="25"/>
      <c r="I875" s="25"/>
      <c r="J875" s="25"/>
      <c r="K875" s="25"/>
      <c r="L875" s="24"/>
      <c r="M875" s="1"/>
    </row>
    <row r="876" ht="24.75" customHeight="1">
      <c r="A876" s="1"/>
      <c r="B876" s="22"/>
      <c r="C876" s="23"/>
      <c r="D876" s="23"/>
      <c r="E876" s="23"/>
      <c r="F876" s="24"/>
      <c r="G876" s="25"/>
      <c r="H876" s="25"/>
      <c r="I876" s="25"/>
      <c r="J876" s="25"/>
      <c r="K876" s="25"/>
      <c r="L876" s="24"/>
      <c r="M876" s="1"/>
    </row>
    <row r="877" ht="24.75" customHeight="1">
      <c r="A877" s="1"/>
      <c r="B877" s="22"/>
      <c r="C877" s="23"/>
      <c r="D877" s="23"/>
      <c r="E877" s="23"/>
      <c r="F877" s="24"/>
      <c r="G877" s="25"/>
      <c r="H877" s="25"/>
      <c r="I877" s="25"/>
      <c r="J877" s="25"/>
      <c r="K877" s="25"/>
      <c r="L877" s="24"/>
      <c r="M877" s="1"/>
    </row>
    <row r="878" ht="24.75" customHeight="1">
      <c r="A878" s="1"/>
      <c r="B878" s="22"/>
      <c r="C878" s="23"/>
      <c r="D878" s="23"/>
      <c r="E878" s="23"/>
      <c r="F878" s="24"/>
      <c r="G878" s="25"/>
      <c r="H878" s="25"/>
      <c r="I878" s="25"/>
      <c r="J878" s="25"/>
      <c r="K878" s="25"/>
      <c r="L878" s="24"/>
      <c r="M878" s="1"/>
    </row>
    <row r="879" ht="24.75" customHeight="1">
      <c r="A879" s="1"/>
      <c r="B879" s="22"/>
      <c r="C879" s="23"/>
      <c r="D879" s="23"/>
      <c r="E879" s="23"/>
      <c r="F879" s="24"/>
      <c r="G879" s="25"/>
      <c r="H879" s="25"/>
      <c r="I879" s="25"/>
      <c r="J879" s="25"/>
      <c r="K879" s="25"/>
      <c r="L879" s="24"/>
      <c r="M879" s="1"/>
    </row>
    <row r="880" ht="24.75" customHeight="1">
      <c r="A880" s="1"/>
      <c r="B880" s="22"/>
      <c r="C880" s="23"/>
      <c r="D880" s="23"/>
      <c r="E880" s="23"/>
      <c r="F880" s="24"/>
      <c r="G880" s="25"/>
      <c r="H880" s="25"/>
      <c r="I880" s="25"/>
      <c r="J880" s="25"/>
      <c r="K880" s="25"/>
      <c r="L880" s="24"/>
      <c r="M880" s="1"/>
    </row>
    <row r="881" ht="24.75" customHeight="1">
      <c r="A881" s="1"/>
      <c r="B881" s="22"/>
      <c r="C881" s="23"/>
      <c r="D881" s="23"/>
      <c r="E881" s="23"/>
      <c r="F881" s="24"/>
      <c r="G881" s="25"/>
      <c r="H881" s="25"/>
      <c r="I881" s="25"/>
      <c r="J881" s="25"/>
      <c r="K881" s="25"/>
      <c r="L881" s="24"/>
      <c r="M881" s="1"/>
    </row>
    <row r="882" ht="24.75" customHeight="1">
      <c r="A882" s="1"/>
      <c r="B882" s="22"/>
      <c r="C882" s="23"/>
      <c r="D882" s="23"/>
      <c r="E882" s="23"/>
      <c r="F882" s="24"/>
      <c r="G882" s="25"/>
      <c r="H882" s="25"/>
      <c r="I882" s="25"/>
      <c r="J882" s="25"/>
      <c r="K882" s="25"/>
      <c r="L882" s="24"/>
      <c r="M882" s="1"/>
    </row>
    <row r="883" ht="24.75" customHeight="1">
      <c r="A883" s="1"/>
      <c r="B883" s="22"/>
      <c r="C883" s="23"/>
      <c r="D883" s="23"/>
      <c r="E883" s="23"/>
      <c r="F883" s="24"/>
      <c r="G883" s="25"/>
      <c r="H883" s="25"/>
      <c r="I883" s="25"/>
      <c r="J883" s="25"/>
      <c r="K883" s="25"/>
      <c r="L883" s="24"/>
      <c r="M883" s="1"/>
    </row>
    <row r="884" ht="24.75" customHeight="1">
      <c r="A884" s="1"/>
      <c r="B884" s="22"/>
      <c r="C884" s="23"/>
      <c r="D884" s="23"/>
      <c r="E884" s="23"/>
      <c r="F884" s="24"/>
      <c r="G884" s="25"/>
      <c r="H884" s="25"/>
      <c r="I884" s="25"/>
      <c r="J884" s="25"/>
      <c r="K884" s="25"/>
      <c r="L884" s="24"/>
      <c r="M884" s="1"/>
    </row>
    <row r="885" ht="24.75" customHeight="1">
      <c r="A885" s="1"/>
      <c r="B885" s="22"/>
      <c r="C885" s="23"/>
      <c r="D885" s="23"/>
      <c r="E885" s="23"/>
      <c r="F885" s="24"/>
      <c r="G885" s="25"/>
      <c r="H885" s="25"/>
      <c r="I885" s="25"/>
      <c r="J885" s="25"/>
      <c r="K885" s="25"/>
      <c r="L885" s="24"/>
      <c r="M885" s="1"/>
    </row>
    <row r="886" ht="24.75" customHeight="1">
      <c r="A886" s="1"/>
      <c r="B886" s="22"/>
      <c r="C886" s="23"/>
      <c r="D886" s="23"/>
      <c r="E886" s="23"/>
      <c r="F886" s="24"/>
      <c r="G886" s="25"/>
      <c r="H886" s="25"/>
      <c r="I886" s="25"/>
      <c r="J886" s="25"/>
      <c r="K886" s="25"/>
      <c r="L886" s="24"/>
      <c r="M886" s="1"/>
    </row>
    <row r="887" ht="24.75" customHeight="1">
      <c r="A887" s="1"/>
      <c r="B887" s="22"/>
      <c r="C887" s="23"/>
      <c r="D887" s="23"/>
      <c r="E887" s="23"/>
      <c r="F887" s="24"/>
      <c r="G887" s="25"/>
      <c r="H887" s="25"/>
      <c r="I887" s="25"/>
      <c r="J887" s="25"/>
      <c r="K887" s="25"/>
      <c r="L887" s="24"/>
      <c r="M887" s="1"/>
    </row>
    <row r="888" ht="24.75" customHeight="1">
      <c r="A888" s="1"/>
      <c r="B888" s="22"/>
      <c r="C888" s="23"/>
      <c r="D888" s="23"/>
      <c r="E888" s="23"/>
      <c r="F888" s="24"/>
      <c r="G888" s="25"/>
      <c r="H888" s="25"/>
      <c r="I888" s="25"/>
      <c r="J888" s="25"/>
      <c r="K888" s="25"/>
      <c r="L888" s="24"/>
      <c r="M888" s="1"/>
    </row>
    <row r="889" ht="24.75" customHeight="1">
      <c r="A889" s="1"/>
      <c r="B889" s="22"/>
      <c r="C889" s="23"/>
      <c r="D889" s="23"/>
      <c r="E889" s="23"/>
      <c r="F889" s="24"/>
      <c r="G889" s="25"/>
      <c r="H889" s="25"/>
      <c r="I889" s="25"/>
      <c r="J889" s="25"/>
      <c r="K889" s="25"/>
      <c r="L889" s="24"/>
      <c r="M889" s="1"/>
    </row>
    <row r="890" ht="24.75" customHeight="1">
      <c r="A890" s="1"/>
      <c r="B890" s="22"/>
      <c r="C890" s="23"/>
      <c r="D890" s="23"/>
      <c r="E890" s="23"/>
      <c r="F890" s="24"/>
      <c r="G890" s="25"/>
      <c r="H890" s="25"/>
      <c r="I890" s="25"/>
      <c r="J890" s="25"/>
      <c r="K890" s="25"/>
      <c r="L890" s="24"/>
      <c r="M890" s="1"/>
    </row>
    <row r="891" ht="24.75" customHeight="1">
      <c r="A891" s="1"/>
      <c r="B891" s="22"/>
      <c r="C891" s="23"/>
      <c r="D891" s="23"/>
      <c r="E891" s="23"/>
      <c r="F891" s="24"/>
      <c r="G891" s="25"/>
      <c r="H891" s="25"/>
      <c r="I891" s="25"/>
      <c r="J891" s="25"/>
      <c r="K891" s="25"/>
      <c r="L891" s="24"/>
      <c r="M891" s="1"/>
    </row>
    <row r="892" ht="24.75" customHeight="1">
      <c r="A892" s="1"/>
      <c r="B892" s="22"/>
      <c r="C892" s="23"/>
      <c r="D892" s="23"/>
      <c r="E892" s="23"/>
      <c r="F892" s="24"/>
      <c r="G892" s="25"/>
      <c r="H892" s="25"/>
      <c r="I892" s="25"/>
      <c r="J892" s="25"/>
      <c r="K892" s="25"/>
      <c r="L892" s="24"/>
      <c r="M892" s="1"/>
    </row>
    <row r="893" ht="24.75" customHeight="1">
      <c r="A893" s="1"/>
      <c r="B893" s="22"/>
      <c r="C893" s="23"/>
      <c r="D893" s="23"/>
      <c r="E893" s="23"/>
      <c r="F893" s="24"/>
      <c r="G893" s="25"/>
      <c r="H893" s="25"/>
      <c r="I893" s="25"/>
      <c r="J893" s="25"/>
      <c r="K893" s="25"/>
      <c r="L893" s="24"/>
      <c r="M893" s="1"/>
    </row>
    <row r="894" ht="24.75" customHeight="1">
      <c r="A894" s="1"/>
      <c r="B894" s="22"/>
      <c r="C894" s="23"/>
      <c r="D894" s="23"/>
      <c r="E894" s="23"/>
      <c r="F894" s="24"/>
      <c r="G894" s="25"/>
      <c r="H894" s="25"/>
      <c r="I894" s="25"/>
      <c r="J894" s="25"/>
      <c r="K894" s="25"/>
      <c r="L894" s="24"/>
      <c r="M894" s="1"/>
    </row>
    <row r="895" ht="24.75" customHeight="1">
      <c r="A895" s="1"/>
      <c r="B895" s="22"/>
      <c r="C895" s="23"/>
      <c r="D895" s="23"/>
      <c r="E895" s="23"/>
      <c r="F895" s="24"/>
      <c r="G895" s="25"/>
      <c r="H895" s="25"/>
      <c r="I895" s="25"/>
      <c r="J895" s="25"/>
      <c r="K895" s="25"/>
      <c r="L895" s="24"/>
      <c r="M895" s="1"/>
    </row>
    <row r="896" ht="24.75" customHeight="1">
      <c r="A896" s="1"/>
      <c r="B896" s="22"/>
      <c r="C896" s="23"/>
      <c r="D896" s="23"/>
      <c r="E896" s="23"/>
      <c r="F896" s="24"/>
      <c r="G896" s="25"/>
      <c r="H896" s="25"/>
      <c r="I896" s="25"/>
      <c r="J896" s="25"/>
      <c r="K896" s="25"/>
      <c r="L896" s="24"/>
      <c r="M896" s="1"/>
    </row>
    <row r="897" ht="24.75" customHeight="1">
      <c r="A897" s="1"/>
      <c r="B897" s="22"/>
      <c r="C897" s="23"/>
      <c r="D897" s="23"/>
      <c r="E897" s="23"/>
      <c r="F897" s="24"/>
      <c r="G897" s="25"/>
      <c r="H897" s="25"/>
      <c r="I897" s="25"/>
      <c r="J897" s="25"/>
      <c r="K897" s="25"/>
      <c r="L897" s="24"/>
      <c r="M897" s="1"/>
    </row>
    <row r="898" ht="24.75" customHeight="1">
      <c r="A898" s="1"/>
      <c r="B898" s="22"/>
      <c r="C898" s="23"/>
      <c r="D898" s="23"/>
      <c r="E898" s="23"/>
      <c r="F898" s="24"/>
      <c r="G898" s="25"/>
      <c r="H898" s="25"/>
      <c r="I898" s="25"/>
      <c r="J898" s="25"/>
      <c r="K898" s="25"/>
      <c r="L898" s="24"/>
      <c r="M898" s="1"/>
    </row>
    <row r="899" ht="24.75" customHeight="1">
      <c r="A899" s="1"/>
      <c r="B899" s="22"/>
      <c r="C899" s="23"/>
      <c r="D899" s="23"/>
      <c r="E899" s="23"/>
      <c r="F899" s="24"/>
      <c r="G899" s="25"/>
      <c r="H899" s="25"/>
      <c r="I899" s="25"/>
      <c r="J899" s="25"/>
      <c r="K899" s="25"/>
      <c r="L899" s="24"/>
      <c r="M899" s="1"/>
    </row>
    <row r="900" ht="24.75" customHeight="1">
      <c r="A900" s="1"/>
      <c r="B900" s="22"/>
      <c r="C900" s="23"/>
      <c r="D900" s="23"/>
      <c r="E900" s="23"/>
      <c r="F900" s="24"/>
      <c r="G900" s="25"/>
      <c r="H900" s="25"/>
      <c r="I900" s="25"/>
      <c r="J900" s="25"/>
      <c r="K900" s="25"/>
      <c r="L900" s="24"/>
      <c r="M900" s="1"/>
    </row>
    <row r="901" ht="24.75" customHeight="1">
      <c r="A901" s="1"/>
      <c r="B901" s="22"/>
      <c r="C901" s="23"/>
      <c r="D901" s="23"/>
      <c r="E901" s="23"/>
      <c r="F901" s="24"/>
      <c r="G901" s="25"/>
      <c r="H901" s="25"/>
      <c r="I901" s="25"/>
      <c r="J901" s="25"/>
      <c r="K901" s="25"/>
      <c r="L901" s="24"/>
      <c r="M901" s="1"/>
    </row>
    <row r="902" ht="24.75" customHeight="1">
      <c r="A902" s="1"/>
      <c r="B902" s="22"/>
      <c r="C902" s="23"/>
      <c r="D902" s="23"/>
      <c r="E902" s="23"/>
      <c r="F902" s="24"/>
      <c r="G902" s="25"/>
      <c r="H902" s="25"/>
      <c r="I902" s="25"/>
      <c r="J902" s="25"/>
      <c r="K902" s="25"/>
      <c r="L902" s="24"/>
      <c r="M902" s="1"/>
    </row>
    <row r="903" ht="24.75" customHeight="1">
      <c r="A903" s="1"/>
      <c r="B903" s="22"/>
      <c r="C903" s="23"/>
      <c r="D903" s="23"/>
      <c r="E903" s="23"/>
      <c r="F903" s="24"/>
      <c r="G903" s="25"/>
      <c r="H903" s="25"/>
      <c r="I903" s="25"/>
      <c r="J903" s="25"/>
      <c r="K903" s="25"/>
      <c r="L903" s="24"/>
      <c r="M903" s="1"/>
    </row>
    <row r="904" ht="24.75" customHeight="1">
      <c r="A904" s="1"/>
      <c r="B904" s="22"/>
      <c r="C904" s="23"/>
      <c r="D904" s="23"/>
      <c r="E904" s="23"/>
      <c r="F904" s="24"/>
      <c r="G904" s="25"/>
      <c r="H904" s="25"/>
      <c r="I904" s="25"/>
      <c r="J904" s="25"/>
      <c r="K904" s="25"/>
      <c r="L904" s="24"/>
      <c r="M904" s="1"/>
    </row>
    <row r="905" ht="24.75" customHeight="1">
      <c r="A905" s="1"/>
      <c r="B905" s="22"/>
      <c r="C905" s="23"/>
      <c r="D905" s="23"/>
      <c r="E905" s="23"/>
      <c r="F905" s="24"/>
      <c r="G905" s="25"/>
      <c r="H905" s="25"/>
      <c r="I905" s="25"/>
      <c r="J905" s="25"/>
      <c r="K905" s="25"/>
      <c r="L905" s="24"/>
      <c r="M905" s="1"/>
    </row>
    <row r="906" ht="24.75" customHeight="1">
      <c r="A906" s="1"/>
      <c r="B906" s="22"/>
      <c r="C906" s="23"/>
      <c r="D906" s="23"/>
      <c r="E906" s="23"/>
      <c r="F906" s="24"/>
      <c r="G906" s="25"/>
      <c r="H906" s="25"/>
      <c r="I906" s="25"/>
      <c r="J906" s="25"/>
      <c r="K906" s="25"/>
      <c r="L906" s="24"/>
      <c r="M906" s="1"/>
    </row>
    <row r="907" ht="24.75" customHeight="1">
      <c r="A907" s="1"/>
      <c r="B907" s="22"/>
      <c r="C907" s="23"/>
      <c r="D907" s="23"/>
      <c r="E907" s="23"/>
      <c r="F907" s="24"/>
      <c r="G907" s="25"/>
      <c r="H907" s="25"/>
      <c r="I907" s="25"/>
      <c r="J907" s="25"/>
      <c r="K907" s="25"/>
      <c r="L907" s="24"/>
      <c r="M907" s="1"/>
    </row>
    <row r="908" ht="24.75" customHeight="1">
      <c r="A908" s="1"/>
      <c r="B908" s="22"/>
      <c r="C908" s="23"/>
      <c r="D908" s="23"/>
      <c r="E908" s="23"/>
      <c r="F908" s="24"/>
      <c r="G908" s="25"/>
      <c r="H908" s="25"/>
      <c r="I908" s="25"/>
      <c r="J908" s="25"/>
      <c r="K908" s="25"/>
      <c r="L908" s="24"/>
      <c r="M908" s="1"/>
    </row>
    <row r="909" ht="24.75" customHeight="1">
      <c r="A909" s="1"/>
      <c r="B909" s="22"/>
      <c r="C909" s="23"/>
      <c r="D909" s="23"/>
      <c r="E909" s="23"/>
      <c r="F909" s="24"/>
      <c r="G909" s="25"/>
      <c r="H909" s="25"/>
      <c r="I909" s="25"/>
      <c r="J909" s="25"/>
      <c r="K909" s="25"/>
      <c r="L909" s="24"/>
      <c r="M909" s="1"/>
    </row>
    <row r="910" ht="24.75" customHeight="1">
      <c r="A910" s="1"/>
      <c r="B910" s="22"/>
      <c r="C910" s="23"/>
      <c r="D910" s="23"/>
      <c r="E910" s="23"/>
      <c r="F910" s="24"/>
      <c r="G910" s="25"/>
      <c r="H910" s="25"/>
      <c r="I910" s="25"/>
      <c r="J910" s="25"/>
      <c r="K910" s="25"/>
      <c r="L910" s="24"/>
      <c r="M910" s="1"/>
    </row>
    <row r="911" ht="24.75" customHeight="1">
      <c r="A911" s="1"/>
      <c r="B911" s="22"/>
      <c r="C911" s="23"/>
      <c r="D911" s="23"/>
      <c r="E911" s="23"/>
      <c r="F911" s="24"/>
      <c r="G911" s="25"/>
      <c r="H911" s="25"/>
      <c r="I911" s="25"/>
      <c r="J911" s="25"/>
      <c r="K911" s="25"/>
      <c r="L911" s="24"/>
      <c r="M911" s="1"/>
    </row>
    <row r="912" ht="24.75" customHeight="1">
      <c r="A912" s="1"/>
      <c r="B912" s="22"/>
      <c r="C912" s="23"/>
      <c r="D912" s="23"/>
      <c r="E912" s="23"/>
      <c r="F912" s="24"/>
      <c r="G912" s="25"/>
      <c r="H912" s="25"/>
      <c r="I912" s="25"/>
      <c r="J912" s="25"/>
      <c r="K912" s="25"/>
      <c r="L912" s="24"/>
      <c r="M912" s="1"/>
    </row>
    <row r="913" ht="24.75" customHeight="1">
      <c r="A913" s="1"/>
      <c r="B913" s="22"/>
      <c r="C913" s="23"/>
      <c r="D913" s="23"/>
      <c r="E913" s="23"/>
      <c r="F913" s="24"/>
      <c r="G913" s="25"/>
      <c r="H913" s="25"/>
      <c r="I913" s="25"/>
      <c r="J913" s="25"/>
      <c r="K913" s="25"/>
      <c r="L913" s="24"/>
      <c r="M913" s="1"/>
    </row>
    <row r="914" ht="24.75" customHeight="1">
      <c r="A914" s="1"/>
      <c r="B914" s="22"/>
      <c r="C914" s="23"/>
      <c r="D914" s="23"/>
      <c r="E914" s="23"/>
      <c r="F914" s="24"/>
      <c r="G914" s="25"/>
      <c r="H914" s="25"/>
      <c r="I914" s="25"/>
      <c r="J914" s="25"/>
      <c r="K914" s="25"/>
      <c r="L914" s="24"/>
      <c r="M914" s="1"/>
    </row>
    <row r="915" ht="24.75" customHeight="1">
      <c r="A915" s="1"/>
      <c r="B915" s="22"/>
      <c r="C915" s="23"/>
      <c r="D915" s="23"/>
      <c r="E915" s="23"/>
      <c r="F915" s="24"/>
      <c r="G915" s="25"/>
      <c r="H915" s="25"/>
      <c r="I915" s="25"/>
      <c r="J915" s="25"/>
      <c r="K915" s="25"/>
      <c r="L915" s="24"/>
      <c r="M915" s="1"/>
    </row>
    <row r="916" ht="24.75" customHeight="1">
      <c r="A916" s="1"/>
      <c r="B916" s="22"/>
      <c r="C916" s="23"/>
      <c r="D916" s="23"/>
      <c r="E916" s="23"/>
      <c r="F916" s="24"/>
      <c r="G916" s="25"/>
      <c r="H916" s="25"/>
      <c r="I916" s="25"/>
      <c r="J916" s="25"/>
      <c r="K916" s="25"/>
      <c r="L916" s="24"/>
      <c r="M916" s="1"/>
    </row>
    <row r="917" ht="24.75" customHeight="1">
      <c r="A917" s="1"/>
      <c r="B917" s="22"/>
      <c r="C917" s="23"/>
      <c r="D917" s="23"/>
      <c r="E917" s="23"/>
      <c r="F917" s="24"/>
      <c r="G917" s="25"/>
      <c r="H917" s="25"/>
      <c r="I917" s="25"/>
      <c r="J917" s="25"/>
      <c r="K917" s="25"/>
      <c r="L917" s="24"/>
      <c r="M917" s="1"/>
    </row>
    <row r="918" ht="24.75" customHeight="1">
      <c r="A918" s="1"/>
      <c r="B918" s="22"/>
      <c r="C918" s="23"/>
      <c r="D918" s="23"/>
      <c r="E918" s="23"/>
      <c r="F918" s="24"/>
      <c r="G918" s="25"/>
      <c r="H918" s="25"/>
      <c r="I918" s="25"/>
      <c r="J918" s="25"/>
      <c r="K918" s="25"/>
      <c r="L918" s="24"/>
      <c r="M918" s="1"/>
    </row>
    <row r="919" ht="24.75" customHeight="1">
      <c r="A919" s="1"/>
      <c r="B919" s="22"/>
      <c r="C919" s="23"/>
      <c r="D919" s="23"/>
      <c r="E919" s="23"/>
      <c r="F919" s="24"/>
      <c r="G919" s="25"/>
      <c r="H919" s="25"/>
      <c r="I919" s="25"/>
      <c r="J919" s="25"/>
      <c r="K919" s="25"/>
      <c r="L919" s="24"/>
      <c r="M919" s="1"/>
    </row>
    <row r="920" ht="24.75" customHeight="1">
      <c r="A920" s="1"/>
      <c r="B920" s="22"/>
      <c r="C920" s="23"/>
      <c r="D920" s="23"/>
      <c r="E920" s="23"/>
      <c r="F920" s="24"/>
      <c r="G920" s="25"/>
      <c r="H920" s="25"/>
      <c r="I920" s="25"/>
      <c r="J920" s="25"/>
      <c r="K920" s="25"/>
      <c r="L920" s="24"/>
      <c r="M920" s="1"/>
    </row>
    <row r="921" ht="24.75" customHeight="1">
      <c r="A921" s="1"/>
      <c r="B921" s="22"/>
      <c r="C921" s="23"/>
      <c r="D921" s="23"/>
      <c r="E921" s="23"/>
      <c r="F921" s="24"/>
      <c r="G921" s="25"/>
      <c r="H921" s="25"/>
      <c r="I921" s="25"/>
      <c r="J921" s="25"/>
      <c r="K921" s="25"/>
      <c r="L921" s="24"/>
      <c r="M921" s="1"/>
    </row>
    <row r="922" ht="24.75" customHeight="1">
      <c r="A922" s="1"/>
      <c r="B922" s="22"/>
      <c r="C922" s="23"/>
      <c r="D922" s="23"/>
      <c r="E922" s="23"/>
      <c r="F922" s="24"/>
      <c r="G922" s="25"/>
      <c r="H922" s="25"/>
      <c r="I922" s="25"/>
      <c r="J922" s="25"/>
      <c r="K922" s="25"/>
      <c r="L922" s="24"/>
      <c r="M922" s="1"/>
    </row>
    <row r="923" ht="24.75" customHeight="1">
      <c r="A923" s="1"/>
      <c r="B923" s="22"/>
      <c r="C923" s="23"/>
      <c r="D923" s="23"/>
      <c r="E923" s="23"/>
      <c r="F923" s="24"/>
      <c r="G923" s="25"/>
      <c r="H923" s="25"/>
      <c r="I923" s="25"/>
      <c r="J923" s="25"/>
      <c r="K923" s="25"/>
      <c r="L923" s="24"/>
      <c r="M923" s="1"/>
    </row>
    <row r="924" ht="24.75" customHeight="1">
      <c r="A924" s="1"/>
      <c r="B924" s="22"/>
      <c r="C924" s="23"/>
      <c r="D924" s="23"/>
      <c r="E924" s="23"/>
      <c r="F924" s="24"/>
      <c r="G924" s="25"/>
      <c r="H924" s="25"/>
      <c r="I924" s="25"/>
      <c r="J924" s="25"/>
      <c r="K924" s="25"/>
      <c r="L924" s="24"/>
      <c r="M924" s="1"/>
    </row>
    <row r="925" ht="24.75" customHeight="1">
      <c r="A925" s="1"/>
      <c r="B925" s="22"/>
      <c r="C925" s="23"/>
      <c r="D925" s="23"/>
      <c r="E925" s="23"/>
      <c r="F925" s="24"/>
      <c r="G925" s="25"/>
      <c r="H925" s="25"/>
      <c r="I925" s="25"/>
      <c r="J925" s="25"/>
      <c r="K925" s="25"/>
      <c r="L925" s="24"/>
      <c r="M925" s="1"/>
    </row>
    <row r="926" ht="24.75" customHeight="1">
      <c r="A926" s="1"/>
      <c r="B926" s="22"/>
      <c r="C926" s="23"/>
      <c r="D926" s="23"/>
      <c r="E926" s="23"/>
      <c r="F926" s="24"/>
      <c r="G926" s="25"/>
      <c r="H926" s="25"/>
      <c r="I926" s="25"/>
      <c r="J926" s="25"/>
      <c r="K926" s="25"/>
      <c r="L926" s="24"/>
      <c r="M926" s="1"/>
    </row>
    <row r="927" ht="24.75" customHeight="1">
      <c r="A927" s="1"/>
      <c r="B927" s="22"/>
      <c r="C927" s="23"/>
      <c r="D927" s="23"/>
      <c r="E927" s="23"/>
      <c r="F927" s="24"/>
      <c r="G927" s="25"/>
      <c r="H927" s="25"/>
      <c r="I927" s="25"/>
      <c r="J927" s="25"/>
      <c r="K927" s="25"/>
      <c r="L927" s="24"/>
      <c r="M927" s="1"/>
    </row>
    <row r="928" ht="24.75" customHeight="1">
      <c r="A928" s="1"/>
      <c r="B928" s="22"/>
      <c r="C928" s="23"/>
      <c r="D928" s="23"/>
      <c r="E928" s="23"/>
      <c r="F928" s="24"/>
      <c r="G928" s="25"/>
      <c r="H928" s="25"/>
      <c r="I928" s="25"/>
      <c r="J928" s="25"/>
      <c r="K928" s="25"/>
      <c r="L928" s="24"/>
      <c r="M928" s="1"/>
    </row>
    <row r="929" ht="24.75" customHeight="1">
      <c r="A929" s="1"/>
      <c r="B929" s="22"/>
      <c r="C929" s="23"/>
      <c r="D929" s="23"/>
      <c r="E929" s="23"/>
      <c r="F929" s="24"/>
      <c r="G929" s="25"/>
      <c r="H929" s="25"/>
      <c r="I929" s="25"/>
      <c r="J929" s="25"/>
      <c r="K929" s="25"/>
      <c r="L929" s="24"/>
      <c r="M929" s="1"/>
    </row>
    <row r="930" ht="24.75" customHeight="1">
      <c r="A930" s="1"/>
      <c r="B930" s="22"/>
      <c r="C930" s="23"/>
      <c r="D930" s="23"/>
      <c r="E930" s="23"/>
      <c r="F930" s="24"/>
      <c r="G930" s="25"/>
      <c r="H930" s="25"/>
      <c r="I930" s="25"/>
      <c r="J930" s="25"/>
      <c r="K930" s="25"/>
      <c r="L930" s="24"/>
      <c r="M930" s="1"/>
    </row>
    <row r="931" ht="24.75" customHeight="1">
      <c r="A931" s="1"/>
      <c r="B931" s="22"/>
      <c r="C931" s="23"/>
      <c r="D931" s="23"/>
      <c r="E931" s="23"/>
      <c r="F931" s="24"/>
      <c r="G931" s="25"/>
      <c r="H931" s="25"/>
      <c r="I931" s="25"/>
      <c r="J931" s="25"/>
      <c r="K931" s="25"/>
      <c r="L931" s="24"/>
      <c r="M931" s="1"/>
    </row>
    <row r="932" ht="24.75" customHeight="1">
      <c r="A932" s="1"/>
      <c r="B932" s="22"/>
      <c r="C932" s="23"/>
      <c r="D932" s="23"/>
      <c r="E932" s="23"/>
      <c r="F932" s="24"/>
      <c r="G932" s="25"/>
      <c r="H932" s="25"/>
      <c r="I932" s="25"/>
      <c r="J932" s="25"/>
      <c r="K932" s="25"/>
      <c r="L932" s="24"/>
      <c r="M932" s="1"/>
    </row>
    <row r="933" ht="24.75" customHeight="1">
      <c r="A933" s="1"/>
      <c r="B933" s="22"/>
      <c r="C933" s="23"/>
      <c r="D933" s="23"/>
      <c r="E933" s="23"/>
      <c r="F933" s="24"/>
      <c r="G933" s="25"/>
      <c r="H933" s="25"/>
      <c r="I933" s="25"/>
      <c r="J933" s="25"/>
      <c r="K933" s="25"/>
      <c r="L933" s="24"/>
      <c r="M933" s="1"/>
    </row>
    <row r="934" ht="24.75" customHeight="1">
      <c r="A934" s="1"/>
      <c r="B934" s="22"/>
      <c r="C934" s="23"/>
      <c r="D934" s="23"/>
      <c r="E934" s="23"/>
      <c r="F934" s="24"/>
      <c r="G934" s="25"/>
      <c r="H934" s="25"/>
      <c r="I934" s="25"/>
      <c r="J934" s="25"/>
      <c r="K934" s="25"/>
      <c r="L934" s="24"/>
      <c r="M934" s="1"/>
    </row>
    <row r="935" ht="24.75" customHeight="1">
      <c r="A935" s="1"/>
      <c r="B935" s="22"/>
      <c r="C935" s="23"/>
      <c r="D935" s="23"/>
      <c r="E935" s="23"/>
      <c r="F935" s="24"/>
      <c r="G935" s="25"/>
      <c r="H935" s="25"/>
      <c r="I935" s="25"/>
      <c r="J935" s="25"/>
      <c r="K935" s="25"/>
      <c r="L935" s="24"/>
      <c r="M935" s="1"/>
    </row>
    <row r="936" ht="24.75" customHeight="1">
      <c r="A936" s="1"/>
      <c r="B936" s="22"/>
      <c r="C936" s="23"/>
      <c r="D936" s="23"/>
      <c r="E936" s="23"/>
      <c r="F936" s="24"/>
      <c r="G936" s="25"/>
      <c r="H936" s="25"/>
      <c r="I936" s="25"/>
      <c r="J936" s="25"/>
      <c r="K936" s="25"/>
      <c r="L936" s="24"/>
      <c r="M936" s="1"/>
    </row>
    <row r="937" ht="24.75" customHeight="1">
      <c r="A937" s="1"/>
      <c r="B937" s="22"/>
      <c r="C937" s="23"/>
      <c r="D937" s="23"/>
      <c r="E937" s="23"/>
      <c r="F937" s="24"/>
      <c r="G937" s="25"/>
      <c r="H937" s="25"/>
      <c r="I937" s="25"/>
      <c r="J937" s="25"/>
      <c r="K937" s="25"/>
      <c r="L937" s="24"/>
      <c r="M937" s="1"/>
    </row>
    <row r="938" ht="24.75" customHeight="1">
      <c r="A938" s="1"/>
      <c r="B938" s="22"/>
      <c r="C938" s="23"/>
      <c r="D938" s="23"/>
      <c r="E938" s="23"/>
      <c r="F938" s="24"/>
      <c r="G938" s="25"/>
      <c r="H938" s="25"/>
      <c r="I938" s="25"/>
      <c r="J938" s="25"/>
      <c r="K938" s="25"/>
      <c r="L938" s="24"/>
      <c r="M938" s="1"/>
    </row>
    <row r="939" ht="24.75" customHeight="1">
      <c r="A939" s="1"/>
      <c r="B939" s="22"/>
      <c r="C939" s="23"/>
      <c r="D939" s="23"/>
      <c r="E939" s="23"/>
      <c r="F939" s="24"/>
      <c r="G939" s="25"/>
      <c r="H939" s="25"/>
      <c r="I939" s="25"/>
      <c r="J939" s="25"/>
      <c r="K939" s="25"/>
      <c r="L939" s="24"/>
      <c r="M939" s="1"/>
    </row>
    <row r="940" ht="24.75" customHeight="1">
      <c r="A940" s="1"/>
      <c r="B940" s="22"/>
      <c r="C940" s="23"/>
      <c r="D940" s="23"/>
      <c r="E940" s="23"/>
      <c r="F940" s="24"/>
      <c r="G940" s="25"/>
      <c r="H940" s="25"/>
      <c r="I940" s="25"/>
      <c r="J940" s="25"/>
      <c r="K940" s="25"/>
      <c r="L940" s="24"/>
      <c r="M940" s="1"/>
    </row>
    <row r="941" ht="24.75" customHeight="1">
      <c r="A941" s="1"/>
      <c r="B941" s="22"/>
      <c r="C941" s="23"/>
      <c r="D941" s="23"/>
      <c r="E941" s="23"/>
      <c r="F941" s="24"/>
      <c r="G941" s="25"/>
      <c r="H941" s="25"/>
      <c r="I941" s="25"/>
      <c r="J941" s="25"/>
      <c r="K941" s="25"/>
      <c r="L941" s="24"/>
      <c r="M941" s="1"/>
    </row>
    <row r="942" ht="24.75" customHeight="1">
      <c r="A942" s="1"/>
      <c r="B942" s="22"/>
      <c r="C942" s="23"/>
      <c r="D942" s="23"/>
      <c r="E942" s="23"/>
      <c r="F942" s="24"/>
      <c r="G942" s="25"/>
      <c r="H942" s="25"/>
      <c r="I942" s="25"/>
      <c r="J942" s="25"/>
      <c r="K942" s="25"/>
      <c r="L942" s="24"/>
      <c r="M942" s="1"/>
    </row>
    <row r="943" ht="24.75" customHeight="1">
      <c r="A943" s="1"/>
      <c r="B943" s="22"/>
      <c r="C943" s="23"/>
      <c r="D943" s="23"/>
      <c r="E943" s="23"/>
      <c r="F943" s="24"/>
      <c r="G943" s="25"/>
      <c r="H943" s="25"/>
      <c r="I943" s="25"/>
      <c r="J943" s="25"/>
      <c r="K943" s="25"/>
      <c r="L943" s="24"/>
      <c r="M943" s="1"/>
    </row>
    <row r="944" ht="24.75" customHeight="1">
      <c r="A944" s="1"/>
      <c r="B944" s="22"/>
      <c r="C944" s="23"/>
      <c r="D944" s="23"/>
      <c r="E944" s="23"/>
      <c r="F944" s="24"/>
      <c r="G944" s="25"/>
      <c r="H944" s="25"/>
      <c r="I944" s="25"/>
      <c r="J944" s="25"/>
      <c r="K944" s="25"/>
      <c r="L944" s="24"/>
      <c r="M944" s="1"/>
    </row>
    <row r="945" ht="24.75" customHeight="1">
      <c r="A945" s="1"/>
      <c r="B945" s="22"/>
      <c r="C945" s="23"/>
      <c r="D945" s="23"/>
      <c r="E945" s="23"/>
      <c r="F945" s="24"/>
      <c r="G945" s="25"/>
      <c r="H945" s="25"/>
      <c r="I945" s="25"/>
      <c r="J945" s="25"/>
      <c r="K945" s="25"/>
      <c r="L945" s="24"/>
      <c r="M945" s="1"/>
    </row>
    <row r="946" ht="24.75" customHeight="1">
      <c r="A946" s="1"/>
      <c r="B946" s="22"/>
      <c r="C946" s="23"/>
      <c r="D946" s="23"/>
      <c r="E946" s="23"/>
      <c r="F946" s="24"/>
      <c r="G946" s="25"/>
      <c r="H946" s="25"/>
      <c r="I946" s="25"/>
      <c r="J946" s="25"/>
      <c r="K946" s="25"/>
      <c r="L946" s="24"/>
      <c r="M946" s="1"/>
    </row>
    <row r="947" ht="24.75" customHeight="1">
      <c r="A947" s="1"/>
      <c r="B947" s="22"/>
      <c r="C947" s="23"/>
      <c r="D947" s="23"/>
      <c r="E947" s="23"/>
      <c r="F947" s="24"/>
      <c r="G947" s="25"/>
      <c r="H947" s="25"/>
      <c r="I947" s="25"/>
      <c r="J947" s="25"/>
      <c r="K947" s="25"/>
      <c r="L947" s="24"/>
      <c r="M947" s="1"/>
    </row>
    <row r="948" ht="24.75" customHeight="1">
      <c r="A948" s="1"/>
      <c r="B948" s="22"/>
      <c r="C948" s="23"/>
      <c r="D948" s="23"/>
      <c r="E948" s="23"/>
      <c r="F948" s="24"/>
      <c r="G948" s="25"/>
      <c r="H948" s="25"/>
      <c r="I948" s="25"/>
      <c r="J948" s="25"/>
      <c r="K948" s="25"/>
      <c r="L948" s="24"/>
      <c r="M948" s="1"/>
    </row>
    <row r="949" ht="24.75" customHeight="1">
      <c r="A949" s="1"/>
      <c r="B949" s="22"/>
      <c r="C949" s="23"/>
      <c r="D949" s="23"/>
      <c r="E949" s="23"/>
      <c r="F949" s="24"/>
      <c r="G949" s="25"/>
      <c r="H949" s="25"/>
      <c r="I949" s="25"/>
      <c r="J949" s="25"/>
      <c r="K949" s="25"/>
      <c r="L949" s="24"/>
      <c r="M949" s="1"/>
    </row>
    <row r="950" ht="24.75" customHeight="1">
      <c r="A950" s="1"/>
      <c r="B950" s="22"/>
      <c r="C950" s="23"/>
      <c r="D950" s="23"/>
      <c r="E950" s="23"/>
      <c r="F950" s="24"/>
      <c r="G950" s="25"/>
      <c r="H950" s="25"/>
      <c r="I950" s="25"/>
      <c r="J950" s="25"/>
      <c r="K950" s="25"/>
      <c r="L950" s="24"/>
      <c r="M950" s="1"/>
    </row>
    <row r="951" ht="24.75" customHeight="1">
      <c r="A951" s="1"/>
      <c r="B951" s="22"/>
      <c r="C951" s="23"/>
      <c r="D951" s="23"/>
      <c r="E951" s="23"/>
      <c r="F951" s="24"/>
      <c r="G951" s="25"/>
      <c r="H951" s="25"/>
      <c r="I951" s="25"/>
      <c r="J951" s="25"/>
      <c r="K951" s="25"/>
      <c r="L951" s="24"/>
      <c r="M951" s="1"/>
    </row>
    <row r="952" ht="24.75" customHeight="1">
      <c r="A952" s="1"/>
      <c r="B952" s="22"/>
      <c r="C952" s="23"/>
      <c r="D952" s="23"/>
      <c r="E952" s="23"/>
      <c r="F952" s="24"/>
      <c r="G952" s="25"/>
      <c r="H952" s="25"/>
      <c r="I952" s="25"/>
      <c r="J952" s="25"/>
      <c r="K952" s="25"/>
      <c r="L952" s="24"/>
      <c r="M952" s="1"/>
    </row>
    <row r="953" ht="24.75" customHeight="1">
      <c r="A953" s="1"/>
      <c r="B953" s="22"/>
      <c r="C953" s="23"/>
      <c r="D953" s="23"/>
      <c r="E953" s="23"/>
      <c r="F953" s="24"/>
      <c r="G953" s="25"/>
      <c r="H953" s="25"/>
      <c r="I953" s="25"/>
      <c r="J953" s="25"/>
      <c r="K953" s="25"/>
      <c r="L953" s="24"/>
      <c r="M953" s="1"/>
    </row>
    <row r="954" ht="24.75" customHeight="1">
      <c r="A954" s="1"/>
      <c r="B954" s="22"/>
      <c r="C954" s="23"/>
      <c r="D954" s="23"/>
      <c r="E954" s="23"/>
      <c r="F954" s="24"/>
      <c r="G954" s="25"/>
      <c r="H954" s="25"/>
      <c r="I954" s="25"/>
      <c r="J954" s="25"/>
      <c r="K954" s="25"/>
      <c r="L954" s="24"/>
      <c r="M954" s="1"/>
    </row>
    <row r="955" ht="24.75" customHeight="1">
      <c r="A955" s="1"/>
      <c r="B955" s="22"/>
      <c r="C955" s="23"/>
      <c r="D955" s="23"/>
      <c r="E955" s="23"/>
      <c r="F955" s="24"/>
      <c r="G955" s="25"/>
      <c r="H955" s="25"/>
      <c r="I955" s="25"/>
      <c r="J955" s="25"/>
      <c r="K955" s="25"/>
      <c r="L955" s="24"/>
      <c r="M955" s="1"/>
    </row>
    <row r="956" ht="24.75" customHeight="1">
      <c r="A956" s="1"/>
      <c r="B956" s="22"/>
      <c r="C956" s="23"/>
      <c r="D956" s="23"/>
      <c r="E956" s="23"/>
      <c r="F956" s="24"/>
      <c r="G956" s="25"/>
      <c r="H956" s="25"/>
      <c r="I956" s="25"/>
      <c r="J956" s="25"/>
      <c r="K956" s="25"/>
      <c r="L956" s="24"/>
      <c r="M956" s="1"/>
    </row>
    <row r="957" ht="24.75" customHeight="1">
      <c r="A957" s="1"/>
      <c r="B957" s="22"/>
      <c r="C957" s="23"/>
      <c r="D957" s="23"/>
      <c r="E957" s="23"/>
      <c r="F957" s="24"/>
      <c r="G957" s="25"/>
      <c r="H957" s="25"/>
      <c r="I957" s="25"/>
      <c r="J957" s="25"/>
      <c r="K957" s="25"/>
      <c r="L957" s="24"/>
      <c r="M957" s="1"/>
    </row>
    <row r="958" ht="24.75" customHeight="1">
      <c r="A958" s="1"/>
      <c r="B958" s="22"/>
      <c r="C958" s="23"/>
      <c r="D958" s="23"/>
      <c r="E958" s="23"/>
      <c r="F958" s="24"/>
      <c r="G958" s="25"/>
      <c r="H958" s="25"/>
      <c r="I958" s="25"/>
      <c r="J958" s="25"/>
      <c r="K958" s="25"/>
      <c r="L958" s="24"/>
      <c r="M958" s="1"/>
    </row>
    <row r="959" ht="24.75" customHeight="1">
      <c r="A959" s="1"/>
      <c r="B959" s="22"/>
      <c r="C959" s="23"/>
      <c r="D959" s="23"/>
      <c r="E959" s="23"/>
      <c r="F959" s="24"/>
      <c r="G959" s="25"/>
      <c r="H959" s="25"/>
      <c r="I959" s="25"/>
      <c r="J959" s="25"/>
      <c r="K959" s="25"/>
      <c r="L959" s="24"/>
      <c r="M959" s="1"/>
    </row>
    <row r="960" ht="24.75" customHeight="1">
      <c r="A960" s="1"/>
      <c r="B960" s="22"/>
      <c r="C960" s="23"/>
      <c r="D960" s="23"/>
      <c r="E960" s="23"/>
      <c r="F960" s="24"/>
      <c r="G960" s="25"/>
      <c r="H960" s="25"/>
      <c r="I960" s="25"/>
      <c r="J960" s="25"/>
      <c r="K960" s="25"/>
      <c r="L960" s="24"/>
      <c r="M960" s="1"/>
    </row>
    <row r="961" ht="24.75" customHeight="1">
      <c r="A961" s="1"/>
      <c r="B961" s="22"/>
      <c r="C961" s="23"/>
      <c r="D961" s="23"/>
      <c r="E961" s="23"/>
      <c r="F961" s="24"/>
      <c r="G961" s="25"/>
      <c r="H961" s="25"/>
      <c r="I961" s="25"/>
      <c r="J961" s="25"/>
      <c r="K961" s="25"/>
      <c r="L961" s="24"/>
      <c r="M961" s="1"/>
    </row>
    <row r="962" ht="24.75" customHeight="1">
      <c r="A962" s="1"/>
      <c r="B962" s="22"/>
      <c r="C962" s="23"/>
      <c r="D962" s="23"/>
      <c r="E962" s="23"/>
      <c r="F962" s="24"/>
      <c r="G962" s="25"/>
      <c r="H962" s="25"/>
      <c r="I962" s="25"/>
      <c r="J962" s="25"/>
      <c r="K962" s="25"/>
      <c r="L962" s="24"/>
      <c r="M962" s="1"/>
    </row>
    <row r="963" ht="24.75" customHeight="1">
      <c r="A963" s="1"/>
      <c r="B963" s="22"/>
      <c r="C963" s="23"/>
      <c r="D963" s="23"/>
      <c r="E963" s="23"/>
      <c r="F963" s="24"/>
      <c r="G963" s="25"/>
      <c r="H963" s="25"/>
      <c r="I963" s="25"/>
      <c r="J963" s="25"/>
      <c r="K963" s="25"/>
      <c r="L963" s="24"/>
      <c r="M963" s="1"/>
    </row>
    <row r="964" ht="24.75" customHeight="1">
      <c r="A964" s="1"/>
      <c r="B964" s="22"/>
      <c r="C964" s="23"/>
      <c r="D964" s="23"/>
      <c r="E964" s="23"/>
      <c r="F964" s="24"/>
      <c r="G964" s="25"/>
      <c r="H964" s="25"/>
      <c r="I964" s="25"/>
      <c r="J964" s="25"/>
      <c r="K964" s="25"/>
      <c r="L964" s="24"/>
      <c r="M964" s="1"/>
    </row>
    <row r="965" ht="24.75" customHeight="1">
      <c r="A965" s="1"/>
      <c r="B965" s="22"/>
      <c r="C965" s="23"/>
      <c r="D965" s="23"/>
      <c r="E965" s="23"/>
      <c r="F965" s="24"/>
      <c r="G965" s="25"/>
      <c r="H965" s="25"/>
      <c r="I965" s="25"/>
      <c r="J965" s="25"/>
      <c r="K965" s="25"/>
      <c r="L965" s="24"/>
      <c r="M965" s="1"/>
    </row>
    <row r="966" ht="24.75" customHeight="1">
      <c r="A966" s="1"/>
      <c r="B966" s="22"/>
      <c r="C966" s="23"/>
      <c r="D966" s="23"/>
      <c r="E966" s="23"/>
      <c r="F966" s="24"/>
      <c r="G966" s="25"/>
      <c r="H966" s="25"/>
      <c r="I966" s="25"/>
      <c r="J966" s="25"/>
      <c r="K966" s="25"/>
      <c r="L966" s="24"/>
      <c r="M966" s="1"/>
    </row>
    <row r="967" ht="24.75" customHeight="1">
      <c r="A967" s="1"/>
      <c r="B967" s="22"/>
      <c r="C967" s="23"/>
      <c r="D967" s="23"/>
      <c r="E967" s="23"/>
      <c r="F967" s="24"/>
      <c r="G967" s="25"/>
      <c r="H967" s="25"/>
      <c r="I967" s="25"/>
      <c r="J967" s="25"/>
      <c r="K967" s="25"/>
      <c r="L967" s="24"/>
      <c r="M967" s="1"/>
    </row>
    <row r="968" ht="24.75" customHeight="1">
      <c r="A968" s="1"/>
      <c r="B968" s="22"/>
      <c r="C968" s="23"/>
      <c r="D968" s="23"/>
      <c r="E968" s="23"/>
      <c r="F968" s="24"/>
      <c r="G968" s="25"/>
      <c r="H968" s="25"/>
      <c r="I968" s="25"/>
      <c r="J968" s="25"/>
      <c r="K968" s="25"/>
      <c r="L968" s="24"/>
      <c r="M968" s="1"/>
    </row>
    <row r="969" ht="24.75" customHeight="1">
      <c r="A969" s="1"/>
      <c r="B969" s="22"/>
      <c r="C969" s="23"/>
      <c r="D969" s="23"/>
      <c r="E969" s="23"/>
      <c r="F969" s="24"/>
      <c r="G969" s="25"/>
      <c r="H969" s="25"/>
      <c r="I969" s="25"/>
      <c r="J969" s="25"/>
      <c r="K969" s="25"/>
      <c r="L969" s="24"/>
      <c r="M969" s="1"/>
    </row>
    <row r="970" ht="24.75" customHeight="1">
      <c r="A970" s="1"/>
      <c r="B970" s="22"/>
      <c r="C970" s="23"/>
      <c r="D970" s="23"/>
      <c r="E970" s="23"/>
      <c r="F970" s="24"/>
      <c r="G970" s="25"/>
      <c r="H970" s="25"/>
      <c r="I970" s="25"/>
      <c r="J970" s="25"/>
      <c r="K970" s="25"/>
      <c r="L970" s="24"/>
      <c r="M970" s="1"/>
    </row>
    <row r="971" ht="24.75" customHeight="1">
      <c r="A971" s="1"/>
      <c r="B971" s="22"/>
      <c r="C971" s="23"/>
      <c r="D971" s="23"/>
      <c r="E971" s="23"/>
      <c r="F971" s="24"/>
      <c r="G971" s="25"/>
      <c r="H971" s="25"/>
      <c r="I971" s="25"/>
      <c r="J971" s="25"/>
      <c r="K971" s="25"/>
      <c r="L971" s="24"/>
      <c r="M971" s="1"/>
    </row>
    <row r="972" ht="24.75" customHeight="1">
      <c r="A972" s="1"/>
      <c r="B972" s="22"/>
      <c r="C972" s="23"/>
      <c r="D972" s="23"/>
      <c r="E972" s="23"/>
      <c r="F972" s="24"/>
      <c r="G972" s="25"/>
      <c r="H972" s="25"/>
      <c r="I972" s="25"/>
      <c r="J972" s="25"/>
      <c r="K972" s="25"/>
      <c r="L972" s="24"/>
      <c r="M972" s="1"/>
    </row>
    <row r="973" ht="24.75" customHeight="1">
      <c r="A973" s="1"/>
      <c r="B973" s="22"/>
      <c r="C973" s="23"/>
      <c r="D973" s="23"/>
      <c r="E973" s="23"/>
      <c r="F973" s="24"/>
      <c r="G973" s="25"/>
      <c r="H973" s="25"/>
      <c r="I973" s="25"/>
      <c r="J973" s="25"/>
      <c r="K973" s="25"/>
      <c r="L973" s="24"/>
      <c r="M973" s="1"/>
    </row>
    <row r="974" ht="24.75" customHeight="1">
      <c r="A974" s="1"/>
      <c r="B974" s="22"/>
      <c r="C974" s="23"/>
      <c r="D974" s="23"/>
      <c r="E974" s="23"/>
      <c r="F974" s="24"/>
      <c r="G974" s="25"/>
      <c r="H974" s="25"/>
      <c r="I974" s="25"/>
      <c r="J974" s="25"/>
      <c r="K974" s="25"/>
      <c r="L974" s="24"/>
      <c r="M974" s="1"/>
    </row>
    <row r="975" ht="24.75" customHeight="1">
      <c r="A975" s="1"/>
      <c r="B975" s="22"/>
      <c r="C975" s="23"/>
      <c r="D975" s="23"/>
      <c r="E975" s="23"/>
      <c r="F975" s="24"/>
      <c r="G975" s="25"/>
      <c r="H975" s="25"/>
      <c r="I975" s="25"/>
      <c r="J975" s="25"/>
      <c r="K975" s="25"/>
      <c r="L975" s="24"/>
      <c r="M975" s="1"/>
    </row>
    <row r="976" ht="24.75" customHeight="1">
      <c r="A976" s="1"/>
      <c r="B976" s="22"/>
      <c r="C976" s="23"/>
      <c r="D976" s="23"/>
      <c r="E976" s="23"/>
      <c r="F976" s="24"/>
      <c r="G976" s="25"/>
      <c r="H976" s="25"/>
      <c r="I976" s="25"/>
      <c r="J976" s="25"/>
      <c r="K976" s="25"/>
      <c r="L976" s="24"/>
      <c r="M976" s="1"/>
    </row>
    <row r="977" ht="24.75" customHeight="1">
      <c r="A977" s="1"/>
      <c r="B977" s="22"/>
      <c r="C977" s="23"/>
      <c r="D977" s="23"/>
      <c r="E977" s="23"/>
      <c r="F977" s="24"/>
      <c r="G977" s="25"/>
      <c r="H977" s="25"/>
      <c r="I977" s="25"/>
      <c r="J977" s="25"/>
      <c r="K977" s="25"/>
      <c r="L977" s="24"/>
      <c r="M977" s="1"/>
    </row>
    <row r="978" ht="24.75" customHeight="1">
      <c r="A978" s="1"/>
      <c r="B978" s="22"/>
      <c r="C978" s="23"/>
      <c r="D978" s="23"/>
      <c r="E978" s="23"/>
      <c r="F978" s="24"/>
      <c r="G978" s="25"/>
      <c r="H978" s="25"/>
      <c r="I978" s="25"/>
      <c r="J978" s="25"/>
      <c r="K978" s="25"/>
      <c r="L978" s="24"/>
      <c r="M978" s="1"/>
    </row>
    <row r="979" ht="24.75" customHeight="1">
      <c r="A979" s="1"/>
      <c r="B979" s="22"/>
      <c r="C979" s="23"/>
      <c r="D979" s="23"/>
      <c r="E979" s="23"/>
      <c r="F979" s="24"/>
      <c r="G979" s="25"/>
      <c r="H979" s="25"/>
      <c r="I979" s="25"/>
      <c r="J979" s="25"/>
      <c r="K979" s="25"/>
      <c r="L979" s="24"/>
      <c r="M979" s="1"/>
    </row>
    <row r="980" ht="24.75" customHeight="1">
      <c r="A980" s="1"/>
      <c r="B980" s="22"/>
      <c r="C980" s="23"/>
      <c r="D980" s="23"/>
      <c r="E980" s="23"/>
      <c r="F980" s="24"/>
      <c r="G980" s="25"/>
      <c r="H980" s="25"/>
      <c r="I980" s="25"/>
      <c r="J980" s="25"/>
      <c r="K980" s="25"/>
      <c r="L980" s="24"/>
      <c r="M980" s="1"/>
    </row>
    <row r="981" ht="24.75" customHeight="1">
      <c r="A981" s="1"/>
      <c r="B981" s="22"/>
      <c r="C981" s="23"/>
      <c r="D981" s="23"/>
      <c r="E981" s="23"/>
      <c r="F981" s="24"/>
      <c r="G981" s="25"/>
      <c r="H981" s="25"/>
      <c r="I981" s="25"/>
      <c r="J981" s="25"/>
      <c r="K981" s="25"/>
      <c r="L981" s="24"/>
      <c r="M981" s="1"/>
    </row>
    <row r="982" ht="24.75" customHeight="1">
      <c r="A982" s="1"/>
      <c r="B982" s="22"/>
      <c r="C982" s="23"/>
      <c r="D982" s="23"/>
      <c r="E982" s="23"/>
      <c r="F982" s="24"/>
      <c r="G982" s="25"/>
      <c r="H982" s="25"/>
      <c r="I982" s="25"/>
      <c r="J982" s="25"/>
      <c r="K982" s="25"/>
      <c r="L982" s="24"/>
      <c r="M982" s="1"/>
    </row>
    <row r="983" ht="24.75" customHeight="1">
      <c r="A983" s="1"/>
      <c r="B983" s="22"/>
      <c r="C983" s="23"/>
      <c r="D983" s="23"/>
      <c r="E983" s="23"/>
      <c r="F983" s="24"/>
      <c r="G983" s="25"/>
      <c r="H983" s="25"/>
      <c r="I983" s="25"/>
      <c r="J983" s="25"/>
      <c r="K983" s="25"/>
      <c r="L983" s="24"/>
      <c r="M983" s="1"/>
    </row>
    <row r="984" ht="24.75" customHeight="1">
      <c r="A984" s="1"/>
      <c r="B984" s="22"/>
      <c r="C984" s="23"/>
      <c r="D984" s="23"/>
      <c r="E984" s="23"/>
      <c r="F984" s="24"/>
      <c r="G984" s="25"/>
      <c r="H984" s="25"/>
      <c r="I984" s="25"/>
      <c r="J984" s="25"/>
      <c r="K984" s="25"/>
      <c r="L984" s="24"/>
      <c r="M984" s="1"/>
    </row>
    <row r="985" ht="24.75" customHeight="1">
      <c r="A985" s="1"/>
      <c r="B985" s="22"/>
      <c r="C985" s="23"/>
      <c r="D985" s="23"/>
      <c r="E985" s="23"/>
      <c r="F985" s="24"/>
      <c r="G985" s="25"/>
      <c r="H985" s="25"/>
      <c r="I985" s="25"/>
      <c r="J985" s="25"/>
      <c r="K985" s="25"/>
      <c r="L985" s="24"/>
      <c r="M985" s="1"/>
    </row>
    <row r="986" ht="24.75" customHeight="1">
      <c r="A986" s="1"/>
      <c r="B986" s="22"/>
      <c r="C986" s="23"/>
      <c r="D986" s="23"/>
      <c r="E986" s="23"/>
      <c r="F986" s="24"/>
      <c r="G986" s="25"/>
      <c r="H986" s="25"/>
      <c r="I986" s="25"/>
      <c r="J986" s="25"/>
      <c r="K986" s="25"/>
      <c r="L986" s="24"/>
      <c r="M986" s="1"/>
    </row>
    <row r="987" ht="24.75" customHeight="1">
      <c r="A987" s="1"/>
      <c r="B987" s="22"/>
      <c r="C987" s="23"/>
      <c r="D987" s="23"/>
      <c r="E987" s="23"/>
      <c r="F987" s="24"/>
      <c r="G987" s="25"/>
      <c r="H987" s="25"/>
      <c r="I987" s="25"/>
      <c r="J987" s="25"/>
      <c r="K987" s="25"/>
      <c r="L987" s="24"/>
      <c r="M987" s="1"/>
    </row>
    <row r="988" ht="24.75" customHeight="1">
      <c r="A988" s="1"/>
      <c r="B988" s="22"/>
      <c r="C988" s="23"/>
      <c r="D988" s="23"/>
      <c r="E988" s="23"/>
      <c r="F988" s="24"/>
      <c r="G988" s="25"/>
      <c r="H988" s="25"/>
      <c r="I988" s="25"/>
      <c r="J988" s="25"/>
      <c r="K988" s="25"/>
      <c r="L988" s="24"/>
      <c r="M988" s="1"/>
    </row>
    <row r="989" ht="24.75" customHeight="1">
      <c r="A989" s="1"/>
      <c r="B989" s="22"/>
      <c r="C989" s="23"/>
      <c r="D989" s="23"/>
      <c r="E989" s="23"/>
      <c r="F989" s="24"/>
      <c r="G989" s="25"/>
      <c r="H989" s="25"/>
      <c r="I989" s="25"/>
      <c r="J989" s="25"/>
      <c r="K989" s="25"/>
      <c r="L989" s="24"/>
      <c r="M989" s="1"/>
    </row>
    <row r="990" ht="24.75" customHeight="1">
      <c r="A990" s="1"/>
      <c r="B990" s="22"/>
      <c r="C990" s="23"/>
      <c r="D990" s="23"/>
      <c r="E990" s="23"/>
      <c r="F990" s="24"/>
      <c r="G990" s="25"/>
      <c r="H990" s="25"/>
      <c r="I990" s="25"/>
      <c r="J990" s="25"/>
      <c r="K990" s="25"/>
      <c r="L990" s="24"/>
      <c r="M990" s="1"/>
    </row>
    <row r="991" ht="24.75" customHeight="1">
      <c r="A991" s="1"/>
      <c r="B991" s="22"/>
      <c r="C991" s="23"/>
      <c r="D991" s="23"/>
      <c r="E991" s="23"/>
      <c r="F991" s="24"/>
      <c r="G991" s="25"/>
      <c r="H991" s="25"/>
      <c r="I991" s="25"/>
      <c r="J991" s="25"/>
      <c r="K991" s="25"/>
      <c r="L991" s="24"/>
      <c r="M991" s="1"/>
    </row>
    <row r="992" ht="24.75" customHeight="1">
      <c r="A992" s="1"/>
      <c r="B992" s="22"/>
      <c r="C992" s="23"/>
      <c r="D992" s="23"/>
      <c r="E992" s="23"/>
      <c r="F992" s="24"/>
      <c r="G992" s="25"/>
      <c r="H992" s="25"/>
      <c r="I992" s="25"/>
      <c r="J992" s="25"/>
      <c r="K992" s="25"/>
      <c r="L992" s="24"/>
      <c r="M992" s="1"/>
    </row>
    <row r="993" ht="24.75" customHeight="1">
      <c r="A993" s="1"/>
      <c r="B993" s="22"/>
      <c r="C993" s="23"/>
      <c r="D993" s="23"/>
      <c r="E993" s="23"/>
      <c r="F993" s="24"/>
      <c r="G993" s="25"/>
      <c r="H993" s="25"/>
      <c r="I993" s="25"/>
      <c r="J993" s="25"/>
      <c r="K993" s="25"/>
      <c r="L993" s="24"/>
      <c r="M993" s="1"/>
    </row>
    <row r="994" ht="24.75" customHeight="1">
      <c r="A994" s="1"/>
      <c r="B994" s="22"/>
      <c r="C994" s="23"/>
      <c r="D994" s="23"/>
      <c r="E994" s="23"/>
      <c r="F994" s="24"/>
      <c r="G994" s="25"/>
      <c r="H994" s="25"/>
      <c r="I994" s="25"/>
      <c r="J994" s="25"/>
      <c r="K994" s="25"/>
      <c r="L994" s="24"/>
      <c r="M994" s="1"/>
    </row>
    <row r="995" ht="24.75" customHeight="1">
      <c r="A995" s="1"/>
      <c r="B995" s="22"/>
      <c r="C995" s="23"/>
      <c r="D995" s="23"/>
      <c r="E995" s="23"/>
      <c r="F995" s="24"/>
      <c r="G995" s="25"/>
      <c r="H995" s="25"/>
      <c r="I995" s="25"/>
      <c r="J995" s="25"/>
      <c r="K995" s="25"/>
      <c r="L995" s="24"/>
      <c r="M995" s="1"/>
    </row>
    <row r="996" ht="24.75" customHeight="1">
      <c r="A996" s="1"/>
      <c r="B996" s="22"/>
      <c r="C996" s="23"/>
      <c r="D996" s="23"/>
      <c r="E996" s="23"/>
      <c r="F996" s="24"/>
      <c r="G996" s="25"/>
      <c r="H996" s="25"/>
      <c r="I996" s="25"/>
      <c r="J996" s="25"/>
      <c r="K996" s="25"/>
      <c r="L996" s="24"/>
      <c r="M996" s="1"/>
    </row>
    <row r="997" ht="24.75" customHeight="1">
      <c r="A997" s="1"/>
      <c r="B997" s="22"/>
      <c r="C997" s="23"/>
      <c r="D997" s="23"/>
      <c r="E997" s="23"/>
      <c r="F997" s="24"/>
      <c r="G997" s="25"/>
      <c r="H997" s="25"/>
      <c r="I997" s="25"/>
      <c r="J997" s="25"/>
      <c r="K997" s="25"/>
      <c r="L997" s="24"/>
      <c r="M997" s="1"/>
    </row>
    <row r="998" ht="24.75" customHeight="1">
      <c r="A998" s="1"/>
      <c r="B998" s="22"/>
      <c r="C998" s="23"/>
      <c r="D998" s="23"/>
      <c r="E998" s="23"/>
      <c r="F998" s="24"/>
      <c r="G998" s="25"/>
      <c r="H998" s="25"/>
      <c r="I998" s="25"/>
      <c r="J998" s="25"/>
      <c r="K998" s="25"/>
      <c r="L998" s="24"/>
      <c r="M998" s="1"/>
    </row>
    <row r="999" ht="24.75" customHeight="1">
      <c r="A999" s="1"/>
      <c r="B999" s="22"/>
      <c r="C999" s="23"/>
      <c r="D999" s="23"/>
      <c r="E999" s="23"/>
      <c r="F999" s="24"/>
      <c r="G999" s="25"/>
      <c r="H999" s="25"/>
      <c r="I999" s="25"/>
      <c r="J999" s="25"/>
      <c r="K999" s="25"/>
      <c r="L999" s="24"/>
      <c r="M999" s="1"/>
    </row>
    <row r="1000" ht="24.75" customHeight="1">
      <c r="A1000" s="1"/>
      <c r="B1000" s="22"/>
      <c r="C1000" s="23"/>
      <c r="D1000" s="23"/>
      <c r="E1000" s="23"/>
      <c r="F1000" s="24"/>
      <c r="G1000" s="25"/>
      <c r="H1000" s="25"/>
      <c r="I1000" s="25"/>
      <c r="J1000" s="25"/>
      <c r="K1000" s="25"/>
      <c r="L1000" s="24"/>
      <c r="M1000" s="1"/>
    </row>
    <row r="1001" ht="24.75" customHeight="1">
      <c r="A1001" s="1"/>
      <c r="B1001" s="22"/>
      <c r="C1001" s="23"/>
      <c r="D1001" s="23"/>
      <c r="E1001" s="23"/>
      <c r="F1001" s="24"/>
      <c r="G1001" s="25"/>
      <c r="H1001" s="25"/>
      <c r="I1001" s="25"/>
      <c r="J1001" s="25"/>
      <c r="K1001" s="25"/>
      <c r="L1001" s="24"/>
      <c r="M1001" s="1"/>
    </row>
    <row r="1002" ht="24.75" customHeight="1">
      <c r="A1002" s="1"/>
      <c r="B1002" s="22"/>
      <c r="C1002" s="23"/>
      <c r="D1002" s="23"/>
      <c r="E1002" s="23"/>
      <c r="F1002" s="24"/>
      <c r="G1002" s="25"/>
      <c r="H1002" s="25"/>
      <c r="I1002" s="25"/>
      <c r="J1002" s="25"/>
      <c r="K1002" s="25"/>
      <c r="L1002" s="24"/>
      <c r="M1002" s="1"/>
    </row>
    <row r="1003" ht="24.75" customHeight="1">
      <c r="A1003" s="1"/>
      <c r="B1003" s="22"/>
      <c r="C1003" s="23"/>
      <c r="D1003" s="23"/>
      <c r="E1003" s="23"/>
      <c r="F1003" s="24"/>
      <c r="G1003" s="25"/>
      <c r="H1003" s="25"/>
      <c r="I1003" s="25"/>
      <c r="J1003" s="25"/>
      <c r="K1003" s="25"/>
      <c r="L1003" s="24"/>
      <c r="M1003" s="1"/>
    </row>
    <row r="1004" ht="24.75" customHeight="1">
      <c r="A1004" s="1"/>
      <c r="B1004" s="22"/>
      <c r="C1004" s="23"/>
      <c r="D1004" s="23"/>
      <c r="E1004" s="23"/>
      <c r="F1004" s="24"/>
      <c r="G1004" s="25"/>
      <c r="H1004" s="25"/>
      <c r="I1004" s="25"/>
      <c r="J1004" s="25"/>
      <c r="K1004" s="25"/>
      <c r="L1004" s="24"/>
      <c r="M1004" s="1"/>
    </row>
    <row r="1005" ht="24.75" customHeight="1">
      <c r="A1005" s="1"/>
      <c r="B1005" s="22"/>
      <c r="C1005" s="23"/>
      <c r="D1005" s="23"/>
      <c r="E1005" s="23"/>
      <c r="F1005" s="24"/>
      <c r="G1005" s="25"/>
      <c r="H1005" s="25"/>
      <c r="I1005" s="25"/>
      <c r="J1005" s="25"/>
      <c r="K1005" s="25"/>
      <c r="L1005" s="24"/>
      <c r="M1005" s="1"/>
    </row>
    <row r="1006" ht="24.75" customHeight="1">
      <c r="A1006" s="1"/>
      <c r="B1006" s="22"/>
      <c r="C1006" s="23"/>
      <c r="D1006" s="23"/>
      <c r="E1006" s="23"/>
      <c r="F1006" s="24"/>
      <c r="G1006" s="25"/>
      <c r="H1006" s="25"/>
      <c r="I1006" s="25"/>
      <c r="J1006" s="25"/>
      <c r="K1006" s="25"/>
      <c r="L1006" s="24"/>
      <c r="M1006" s="1"/>
    </row>
    <row r="1007" ht="24.75" customHeight="1">
      <c r="A1007" s="1"/>
      <c r="B1007" s="22"/>
      <c r="C1007" s="23"/>
      <c r="D1007" s="23"/>
      <c r="E1007" s="23"/>
      <c r="F1007" s="24"/>
      <c r="G1007" s="25"/>
      <c r="H1007" s="25"/>
      <c r="I1007" s="25"/>
      <c r="J1007" s="25"/>
      <c r="K1007" s="25"/>
      <c r="L1007" s="24"/>
      <c r="M1007" s="1"/>
    </row>
    <row r="1008" ht="24.75" customHeight="1">
      <c r="A1008" s="1"/>
      <c r="B1008" s="22"/>
      <c r="C1008" s="23"/>
      <c r="D1008" s="23"/>
      <c r="E1008" s="23"/>
      <c r="F1008" s="24"/>
      <c r="G1008" s="25"/>
      <c r="H1008" s="25"/>
      <c r="I1008" s="25"/>
      <c r="J1008" s="25"/>
      <c r="K1008" s="25"/>
      <c r="L1008" s="24"/>
      <c r="M1008" s="1"/>
    </row>
    <row r="1009" ht="24.75" customHeight="1">
      <c r="A1009" s="1"/>
      <c r="B1009" s="22"/>
      <c r="C1009" s="23"/>
      <c r="D1009" s="23"/>
      <c r="E1009" s="23"/>
      <c r="F1009" s="24"/>
      <c r="G1009" s="25"/>
      <c r="H1009" s="25"/>
      <c r="I1009" s="25"/>
      <c r="J1009" s="25"/>
      <c r="K1009" s="25"/>
      <c r="L1009" s="24"/>
      <c r="M1009" s="1"/>
    </row>
    <row r="1010" ht="24.75" customHeight="1">
      <c r="A1010" s="1"/>
      <c r="B1010" s="22"/>
      <c r="C1010" s="23"/>
      <c r="D1010" s="23"/>
      <c r="E1010" s="23"/>
      <c r="F1010" s="24"/>
      <c r="G1010" s="25"/>
      <c r="H1010" s="25"/>
      <c r="I1010" s="25"/>
      <c r="J1010" s="25"/>
      <c r="K1010" s="25"/>
      <c r="L1010" s="24"/>
      <c r="M1010" s="1"/>
    </row>
    <row r="1011" ht="24.75" customHeight="1">
      <c r="A1011" s="1"/>
      <c r="B1011" s="22"/>
      <c r="C1011" s="23"/>
      <c r="D1011" s="23"/>
      <c r="E1011" s="23"/>
      <c r="F1011" s="24"/>
      <c r="G1011" s="25"/>
      <c r="H1011" s="25"/>
      <c r="I1011" s="25"/>
      <c r="J1011" s="25"/>
      <c r="K1011" s="25"/>
      <c r="L1011" s="24"/>
      <c r="M1011" s="1"/>
    </row>
    <row r="1012" ht="24.75" customHeight="1">
      <c r="A1012" s="1"/>
      <c r="B1012" s="22"/>
      <c r="C1012" s="23"/>
      <c r="D1012" s="23"/>
      <c r="E1012" s="23"/>
      <c r="F1012" s="24"/>
      <c r="G1012" s="25"/>
      <c r="H1012" s="25"/>
      <c r="I1012" s="25"/>
      <c r="J1012" s="25"/>
      <c r="K1012" s="25"/>
      <c r="L1012" s="24"/>
      <c r="M1012" s="1"/>
    </row>
    <row r="1013" ht="24.75" customHeight="1">
      <c r="A1013" s="1"/>
      <c r="B1013" s="22"/>
      <c r="C1013" s="23"/>
      <c r="D1013" s="23"/>
      <c r="E1013" s="23"/>
      <c r="F1013" s="24"/>
      <c r="G1013" s="25"/>
      <c r="H1013" s="25"/>
      <c r="I1013" s="25"/>
      <c r="J1013" s="25"/>
      <c r="K1013" s="25"/>
      <c r="L1013" s="24"/>
      <c r="M1013" s="1"/>
    </row>
    <row r="1014" ht="24.75" customHeight="1">
      <c r="A1014" s="1"/>
      <c r="B1014" s="22"/>
      <c r="C1014" s="23"/>
      <c r="D1014" s="23"/>
      <c r="E1014" s="23"/>
      <c r="F1014" s="24"/>
      <c r="G1014" s="25"/>
      <c r="H1014" s="25"/>
      <c r="I1014" s="25"/>
      <c r="J1014" s="25"/>
      <c r="K1014" s="25"/>
      <c r="L1014" s="24"/>
      <c r="M1014" s="1"/>
    </row>
    <row r="1015" ht="24.75" customHeight="1">
      <c r="A1015" s="1"/>
      <c r="B1015" s="22"/>
      <c r="C1015" s="23"/>
      <c r="D1015" s="23"/>
      <c r="E1015" s="23"/>
      <c r="F1015" s="24"/>
      <c r="G1015" s="25"/>
      <c r="H1015" s="25"/>
      <c r="I1015" s="25"/>
      <c r="J1015" s="25"/>
      <c r="K1015" s="25"/>
      <c r="L1015" s="24"/>
      <c r="M1015" s="1"/>
    </row>
    <row r="1016" ht="24.75" customHeight="1">
      <c r="A1016" s="1"/>
      <c r="B1016" s="22"/>
      <c r="C1016" s="23"/>
      <c r="D1016" s="23"/>
      <c r="E1016" s="23"/>
      <c r="F1016" s="24"/>
      <c r="G1016" s="25"/>
      <c r="H1016" s="25"/>
      <c r="I1016" s="25"/>
      <c r="J1016" s="25"/>
      <c r="K1016" s="25"/>
      <c r="L1016" s="24"/>
      <c r="M1016" s="1"/>
    </row>
    <row r="1017" ht="24.75" customHeight="1">
      <c r="A1017" s="1"/>
      <c r="B1017" s="22"/>
      <c r="C1017" s="23"/>
      <c r="D1017" s="23"/>
      <c r="E1017" s="23"/>
      <c r="F1017" s="24"/>
      <c r="G1017" s="25"/>
      <c r="H1017" s="25"/>
      <c r="I1017" s="25"/>
      <c r="J1017" s="25"/>
      <c r="K1017" s="25"/>
      <c r="L1017" s="24"/>
      <c r="M1017" s="1"/>
    </row>
  </sheetData>
  <mergeCells count="21">
    <mergeCell ref="C8:E8"/>
    <mergeCell ref="F8:L8"/>
    <mergeCell ref="B9:B13"/>
    <mergeCell ref="C9:E9"/>
    <mergeCell ref="E10:E13"/>
    <mergeCell ref="C13:D13"/>
    <mergeCell ref="D17:F17"/>
    <mergeCell ref="C18:C34"/>
    <mergeCell ref="D18:K34"/>
    <mergeCell ref="M18:M34"/>
    <mergeCell ref="G10:K10"/>
    <mergeCell ref="G12:K12"/>
    <mergeCell ref="G15:K15"/>
    <mergeCell ref="G17:M17"/>
    <mergeCell ref="B1:L1"/>
    <mergeCell ref="M1:M12"/>
    <mergeCell ref="C2:E2"/>
    <mergeCell ref="F2:L2"/>
    <mergeCell ref="B3:B5"/>
    <mergeCell ref="L3:L5"/>
    <mergeCell ref="B7:L7"/>
  </mergeCells>
  <hyperlinks>
    <hyperlink r:id="rId1" ref="G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16" width="4.25"/>
  </cols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50"/>
      <c r="AR1" s="50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GS1" s="51"/>
      <c r="GT1" s="51"/>
      <c r="GU1" s="51"/>
      <c r="GV1" s="51"/>
      <c r="GW1" s="51"/>
      <c r="GX1" s="51"/>
      <c r="GY1" s="51"/>
      <c r="GZ1" s="52"/>
      <c r="HA1" s="52"/>
      <c r="HB1" s="52"/>
      <c r="HC1" s="52"/>
      <c r="HD1" s="52"/>
      <c r="HE1" s="52"/>
      <c r="HF1" s="52"/>
      <c r="HG1" s="52"/>
      <c r="HH1" s="52"/>
    </row>
    <row r="2">
      <c r="A2" s="49"/>
      <c r="B2" s="53">
        <v>45992.0</v>
      </c>
      <c r="C2" s="54"/>
      <c r="D2" s="54"/>
      <c r="E2" s="54"/>
      <c r="F2" s="54"/>
      <c r="G2" s="54"/>
      <c r="H2" s="54"/>
      <c r="I2" s="54"/>
      <c r="J2" s="55"/>
      <c r="K2" s="49"/>
      <c r="L2" s="56" t="s">
        <v>10</v>
      </c>
      <c r="M2" s="54"/>
      <c r="N2" s="54"/>
      <c r="O2" s="54"/>
      <c r="P2" s="54"/>
      <c r="Q2" s="54"/>
      <c r="R2" s="54"/>
      <c r="S2" s="55"/>
      <c r="T2" s="57"/>
      <c r="U2" s="58" t="s">
        <v>11</v>
      </c>
      <c r="V2" s="59"/>
      <c r="W2" s="59"/>
      <c r="X2" s="59"/>
      <c r="Y2" s="60"/>
      <c r="Z2" s="61"/>
      <c r="AA2" s="62" t="s">
        <v>12</v>
      </c>
      <c r="AB2" s="54"/>
      <c r="AC2" s="54"/>
      <c r="AD2" s="54"/>
      <c r="AE2" s="55"/>
      <c r="AF2" s="61"/>
      <c r="AG2" s="63" t="s">
        <v>13</v>
      </c>
      <c r="AH2" s="54"/>
      <c r="AI2" s="54"/>
      <c r="AJ2" s="54"/>
      <c r="AK2" s="55"/>
      <c r="AL2" s="61"/>
      <c r="AM2" s="64" t="s">
        <v>14</v>
      </c>
      <c r="AN2" s="54"/>
      <c r="AO2" s="54"/>
      <c r="AP2" s="54"/>
      <c r="AQ2" s="55"/>
      <c r="AR2" s="61"/>
      <c r="AS2" s="65" t="s">
        <v>15</v>
      </c>
      <c r="AT2" s="54"/>
      <c r="AU2" s="54"/>
      <c r="AV2" s="54"/>
      <c r="AW2" s="55"/>
      <c r="AX2" s="49"/>
      <c r="AY2" s="49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 t="s">
        <v>16</v>
      </c>
      <c r="FG2" s="66"/>
      <c r="FH2" s="67" t="str">
        <f t="shared" ref="FH2:GL2" si="1">text(L29,"dddd")</f>
        <v>Monday</v>
      </c>
      <c r="FI2" s="67" t="str">
        <f t="shared" si="1"/>
        <v>Tuesday</v>
      </c>
      <c r="FJ2" s="67" t="str">
        <f t="shared" si="1"/>
        <v>Wednesday</v>
      </c>
      <c r="FK2" s="67" t="str">
        <f t="shared" si="1"/>
        <v>Thursday</v>
      </c>
      <c r="FL2" s="67" t="str">
        <f t="shared" si="1"/>
        <v>Friday</v>
      </c>
      <c r="FM2" s="67" t="str">
        <f t="shared" si="1"/>
        <v>Saturday</v>
      </c>
      <c r="FN2" s="67" t="str">
        <f t="shared" si="1"/>
        <v>Sunday</v>
      </c>
      <c r="FO2" s="67" t="str">
        <f t="shared" si="1"/>
        <v>Monday</v>
      </c>
      <c r="FP2" s="67" t="str">
        <f t="shared" si="1"/>
        <v>Tuesday</v>
      </c>
      <c r="FQ2" s="67" t="str">
        <f t="shared" si="1"/>
        <v>Wednesday</v>
      </c>
      <c r="FR2" s="67" t="str">
        <f t="shared" si="1"/>
        <v>Thursday</v>
      </c>
      <c r="FS2" s="67" t="str">
        <f t="shared" si="1"/>
        <v>Friday</v>
      </c>
      <c r="FT2" s="67" t="str">
        <f t="shared" si="1"/>
        <v>Saturday</v>
      </c>
      <c r="FU2" s="67" t="str">
        <f t="shared" si="1"/>
        <v>Sunday</v>
      </c>
      <c r="FV2" s="67" t="str">
        <f t="shared" si="1"/>
        <v>Monday</v>
      </c>
      <c r="FW2" s="67" t="str">
        <f t="shared" si="1"/>
        <v>Tuesday</v>
      </c>
      <c r="FX2" s="67" t="str">
        <f t="shared" si="1"/>
        <v>Wednesday</v>
      </c>
      <c r="FY2" s="67" t="str">
        <f t="shared" si="1"/>
        <v>Thursday</v>
      </c>
      <c r="FZ2" s="67" t="str">
        <f t="shared" si="1"/>
        <v>Friday</v>
      </c>
      <c r="GA2" s="67" t="str">
        <f t="shared" si="1"/>
        <v>Saturday</v>
      </c>
      <c r="GB2" s="67" t="str">
        <f t="shared" si="1"/>
        <v>Sunday</v>
      </c>
      <c r="GC2" s="67" t="str">
        <f t="shared" si="1"/>
        <v>Monday</v>
      </c>
      <c r="GD2" s="67" t="str">
        <f t="shared" si="1"/>
        <v>Tuesday</v>
      </c>
      <c r="GE2" s="67" t="str">
        <f t="shared" si="1"/>
        <v>Wednesday</v>
      </c>
      <c r="GF2" s="67" t="str">
        <f t="shared" si="1"/>
        <v>Thursday</v>
      </c>
      <c r="GG2" s="67" t="str">
        <f t="shared" si="1"/>
        <v>Friday</v>
      </c>
      <c r="GH2" s="67" t="str">
        <f t="shared" si="1"/>
        <v>Saturday</v>
      </c>
      <c r="GI2" s="67" t="str">
        <f t="shared" si="1"/>
        <v>Sunday</v>
      </c>
      <c r="GJ2" s="67" t="str">
        <f t="shared" si="1"/>
        <v>Monday</v>
      </c>
      <c r="GK2" s="67" t="str">
        <f t="shared" si="1"/>
        <v>Tuesday</v>
      </c>
      <c r="GL2" s="67" t="str">
        <f t="shared" si="1"/>
        <v>Wednesday</v>
      </c>
      <c r="GM2" s="68"/>
      <c r="GN2" s="68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2"/>
      <c r="HA2" s="52"/>
      <c r="HB2" s="52"/>
      <c r="HC2" s="52"/>
      <c r="HD2" s="52"/>
      <c r="HE2" s="52"/>
      <c r="HF2" s="52"/>
      <c r="HG2" s="52"/>
      <c r="HH2" s="52"/>
    </row>
    <row r="3">
      <c r="A3" s="49"/>
      <c r="B3" s="69"/>
      <c r="J3" s="70"/>
      <c r="K3" s="71"/>
      <c r="L3" s="72">
        <f>IFERROR(SUM(L51:AP51)/SUM(J30:K49),"")</f>
        <v>0.04</v>
      </c>
      <c r="M3" s="54"/>
      <c r="N3" s="54"/>
      <c r="O3" s="54"/>
      <c r="P3" s="54"/>
      <c r="Q3" s="73">
        <f>FY33</f>
        <v>1</v>
      </c>
      <c r="R3" s="54"/>
      <c r="S3" s="55"/>
      <c r="T3" s="74"/>
      <c r="U3" s="75">
        <f>IFERROR(FY18/GA18,"")</f>
        <v>0.1428571429</v>
      </c>
      <c r="Y3" s="70"/>
      <c r="Z3" s="49"/>
      <c r="AA3" s="76">
        <f>IFERROR(FY21/GA21,"")</f>
        <v>0</v>
      </c>
      <c r="AE3" s="70"/>
      <c r="AF3" s="49"/>
      <c r="AG3" s="77">
        <f>IFERROR(FY24/GA24,"")</f>
        <v>0</v>
      </c>
      <c r="AK3" s="70"/>
      <c r="AL3" s="49"/>
      <c r="AM3" s="78">
        <f>IFERROR(FY27/GA27,"")</f>
        <v>0</v>
      </c>
      <c r="AQ3" s="70"/>
      <c r="AR3" s="49"/>
      <c r="AS3" s="79">
        <f>IFERROR(FY30/GA30,"")</f>
        <v>0</v>
      </c>
      <c r="AW3" s="70"/>
      <c r="AX3" s="49"/>
      <c r="AY3" s="49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 t="s">
        <v>16</v>
      </c>
      <c r="FG3" s="66"/>
      <c r="FH3" s="80">
        <v>1.0</v>
      </c>
      <c r="FI3" s="66">
        <v>2.0</v>
      </c>
      <c r="FJ3" s="80">
        <v>3.0</v>
      </c>
      <c r="FK3" s="66">
        <v>4.0</v>
      </c>
      <c r="FL3" s="80">
        <v>5.0</v>
      </c>
      <c r="FM3" s="66">
        <v>6.0</v>
      </c>
      <c r="FN3" s="80">
        <v>7.0</v>
      </c>
      <c r="FO3" s="66">
        <v>8.0</v>
      </c>
      <c r="FP3" s="80">
        <v>9.0</v>
      </c>
      <c r="FQ3" s="66">
        <v>10.0</v>
      </c>
      <c r="FR3" s="80">
        <v>11.0</v>
      </c>
      <c r="FS3" s="66">
        <v>12.0</v>
      </c>
      <c r="FT3" s="80">
        <v>13.0</v>
      </c>
      <c r="FU3" s="66">
        <v>14.0</v>
      </c>
      <c r="FV3" s="80">
        <v>15.0</v>
      </c>
      <c r="FW3" s="66">
        <v>16.0</v>
      </c>
      <c r="FX3" s="80">
        <v>17.0</v>
      </c>
      <c r="FY3" s="66">
        <v>18.0</v>
      </c>
      <c r="FZ3" s="80">
        <v>19.0</v>
      </c>
      <c r="GA3" s="66">
        <v>20.0</v>
      </c>
      <c r="GB3" s="80">
        <v>21.0</v>
      </c>
      <c r="GC3" s="66">
        <v>22.0</v>
      </c>
      <c r="GD3" s="80">
        <v>23.0</v>
      </c>
      <c r="GE3" s="66">
        <v>24.0</v>
      </c>
      <c r="GF3" s="80">
        <v>25.0</v>
      </c>
      <c r="GG3" s="66">
        <v>26.0</v>
      </c>
      <c r="GH3" s="80">
        <v>27.0</v>
      </c>
      <c r="GI3" s="66">
        <v>28.0</v>
      </c>
      <c r="GJ3" s="80">
        <v>29.0</v>
      </c>
      <c r="GK3" s="66">
        <v>30.0</v>
      </c>
      <c r="GL3" s="80">
        <v>31.0</v>
      </c>
      <c r="GM3" s="68"/>
      <c r="GN3" s="68"/>
      <c r="GO3" s="51"/>
      <c r="GP3" s="51"/>
      <c r="GQ3" s="51"/>
      <c r="GR3" s="51"/>
      <c r="GS3" s="51"/>
      <c r="GT3" s="51"/>
      <c r="GU3" s="51"/>
      <c r="GV3" s="51"/>
      <c r="GW3" s="51"/>
      <c r="GX3" s="51"/>
      <c r="GY3" s="51"/>
      <c r="GZ3" s="52"/>
      <c r="HA3" s="52"/>
      <c r="HB3" s="52"/>
      <c r="HC3" s="52"/>
      <c r="HD3" s="52"/>
      <c r="HE3" s="52"/>
      <c r="HF3" s="52"/>
      <c r="HG3" s="52"/>
      <c r="HH3" s="52"/>
    </row>
    <row r="4">
      <c r="A4" s="49"/>
      <c r="B4" s="69"/>
      <c r="J4" s="70"/>
      <c r="K4" s="71"/>
      <c r="L4" s="69"/>
      <c r="S4" s="70"/>
      <c r="T4" s="49"/>
      <c r="U4" s="69"/>
      <c r="Y4" s="70"/>
      <c r="Z4" s="49"/>
      <c r="AA4" s="69"/>
      <c r="AE4" s="70"/>
      <c r="AF4" s="49"/>
      <c r="AG4" s="69"/>
      <c r="AK4" s="70"/>
      <c r="AL4" s="49"/>
      <c r="AM4" s="69"/>
      <c r="AQ4" s="70"/>
      <c r="AR4" s="49"/>
      <c r="AS4" s="69"/>
      <c r="AW4" s="70"/>
      <c r="AX4" s="49"/>
      <c r="AY4" s="49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68"/>
      <c r="GN4" s="68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2"/>
      <c r="HA4" s="52"/>
      <c r="HB4" s="52"/>
      <c r="HC4" s="52"/>
      <c r="HD4" s="52"/>
      <c r="HE4" s="52"/>
      <c r="HF4" s="52"/>
      <c r="HG4" s="52"/>
      <c r="HH4" s="52"/>
    </row>
    <row r="5">
      <c r="A5" s="49"/>
      <c r="B5" s="69"/>
      <c r="J5" s="70"/>
      <c r="K5" s="71"/>
      <c r="L5" s="69"/>
      <c r="Q5" s="81" t="s">
        <v>17</v>
      </c>
      <c r="S5" s="70"/>
      <c r="T5" s="49"/>
      <c r="U5" s="69"/>
      <c r="Y5" s="70"/>
      <c r="Z5" s="49"/>
      <c r="AA5" s="69"/>
      <c r="AE5" s="70"/>
      <c r="AF5" s="49"/>
      <c r="AG5" s="69"/>
      <c r="AK5" s="70"/>
      <c r="AL5" s="49"/>
      <c r="AM5" s="69"/>
      <c r="AQ5" s="70"/>
      <c r="AR5" s="49"/>
      <c r="AS5" s="69"/>
      <c r="AW5" s="70"/>
      <c r="AX5" s="49"/>
      <c r="AY5" s="49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68"/>
      <c r="GN5" s="68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2"/>
      <c r="HA5" s="52"/>
      <c r="HB5" s="52"/>
      <c r="HC5" s="52"/>
      <c r="HD5" s="52"/>
      <c r="HE5" s="52"/>
      <c r="HF5" s="52"/>
      <c r="HG5" s="52"/>
      <c r="HH5" s="52"/>
    </row>
    <row r="6">
      <c r="A6" s="49"/>
      <c r="B6" s="82" t="s">
        <v>18</v>
      </c>
      <c r="J6" s="70"/>
      <c r="K6" s="83"/>
      <c r="L6" s="69"/>
      <c r="Q6" s="84">
        <f>GA33</f>
        <v>25</v>
      </c>
      <c r="S6" s="70"/>
      <c r="T6" s="49"/>
      <c r="U6" s="69"/>
      <c r="Y6" s="70"/>
      <c r="Z6" s="49"/>
      <c r="AA6" s="69"/>
      <c r="AE6" s="70"/>
      <c r="AF6" s="49"/>
      <c r="AG6" s="69"/>
      <c r="AK6" s="70"/>
      <c r="AL6" s="49"/>
      <c r="AM6" s="69"/>
      <c r="AQ6" s="70"/>
      <c r="AR6" s="49"/>
      <c r="AS6" s="69"/>
      <c r="AW6" s="70"/>
      <c r="AX6" s="49"/>
      <c r="AY6" s="49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  <c r="EX6" s="66"/>
      <c r="EY6" s="66"/>
      <c r="EZ6" s="66"/>
      <c r="FA6" s="66"/>
      <c r="FB6" s="66"/>
      <c r="FC6" s="66"/>
      <c r="FD6" s="66"/>
      <c r="FE6" s="66"/>
      <c r="FF6" s="66" t="s">
        <v>16</v>
      </c>
      <c r="FG6" s="66" t="s">
        <v>19</v>
      </c>
      <c r="FH6" s="51"/>
      <c r="FI6" s="51"/>
      <c r="FJ6" s="51"/>
      <c r="FK6" s="66" t="s">
        <v>20</v>
      </c>
      <c r="FL6" s="66" t="s">
        <v>21</v>
      </c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68"/>
      <c r="GN6" s="68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2"/>
      <c r="HA6" s="52"/>
      <c r="HB6" s="52"/>
      <c r="HC6" s="52"/>
      <c r="HD6" s="52"/>
      <c r="HE6" s="52"/>
      <c r="HF6" s="52"/>
      <c r="HG6" s="52"/>
      <c r="HH6" s="52"/>
    </row>
    <row r="7">
      <c r="A7" s="49"/>
      <c r="B7" s="69"/>
      <c r="J7" s="70"/>
      <c r="K7" s="83"/>
      <c r="L7" s="69"/>
      <c r="Q7" s="85" t="s">
        <v>22</v>
      </c>
      <c r="R7" s="86"/>
      <c r="S7" s="87"/>
      <c r="T7" s="49"/>
      <c r="U7" s="69"/>
      <c r="Y7" s="70"/>
      <c r="Z7" s="49"/>
      <c r="AA7" s="69"/>
      <c r="AE7" s="70"/>
      <c r="AF7" s="49"/>
      <c r="AG7" s="69"/>
      <c r="AK7" s="70"/>
      <c r="AL7" s="49"/>
      <c r="AM7" s="69"/>
      <c r="AQ7" s="70"/>
      <c r="AR7" s="49"/>
      <c r="AS7" s="69"/>
      <c r="AW7" s="70"/>
      <c r="AX7" s="49"/>
      <c r="AY7" s="49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  <c r="EX7" s="66"/>
      <c r="EY7" s="66"/>
      <c r="EZ7" s="66"/>
      <c r="FA7" s="66"/>
      <c r="FB7" s="66"/>
      <c r="FC7" s="66"/>
      <c r="FD7" s="66"/>
      <c r="FE7" s="66"/>
      <c r="FF7" s="66" t="s">
        <v>23</v>
      </c>
      <c r="FG7" s="66" t="s">
        <v>24</v>
      </c>
      <c r="FH7" s="51"/>
      <c r="FI7" s="51"/>
      <c r="FJ7" s="51"/>
      <c r="FK7" s="51">
        <f>DAY(eomonth(B2,0))</f>
        <v>31</v>
      </c>
      <c r="FL7" s="51">
        <f>value(FK7)</f>
        <v>31</v>
      </c>
      <c r="FM7" s="51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68"/>
      <c r="GN7" s="68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2"/>
      <c r="HA7" s="52"/>
      <c r="HB7" s="52"/>
      <c r="HC7" s="52"/>
      <c r="HD7" s="52"/>
      <c r="HE7" s="52"/>
      <c r="HF7" s="52"/>
      <c r="HG7" s="52"/>
      <c r="HH7" s="52"/>
    </row>
    <row r="8">
      <c r="A8" s="49"/>
      <c r="B8" s="88"/>
      <c r="C8" s="86"/>
      <c r="D8" s="86"/>
      <c r="E8" s="86"/>
      <c r="F8" s="86"/>
      <c r="G8" s="86"/>
      <c r="H8" s="86"/>
      <c r="I8" s="86"/>
      <c r="J8" s="87"/>
      <c r="K8" s="83"/>
      <c r="L8" s="88"/>
      <c r="M8" s="86"/>
      <c r="N8" s="86"/>
      <c r="O8" s="86"/>
      <c r="P8" s="86"/>
      <c r="Q8" s="89"/>
      <c r="R8" s="89"/>
      <c r="S8" s="90"/>
      <c r="T8" s="49"/>
      <c r="U8" s="88"/>
      <c r="V8" s="86"/>
      <c r="W8" s="86"/>
      <c r="X8" s="86"/>
      <c r="Y8" s="87"/>
      <c r="Z8" s="49"/>
      <c r="AA8" s="88"/>
      <c r="AB8" s="86"/>
      <c r="AC8" s="86"/>
      <c r="AD8" s="86"/>
      <c r="AE8" s="87"/>
      <c r="AF8" s="49"/>
      <c r="AG8" s="88"/>
      <c r="AH8" s="86"/>
      <c r="AI8" s="86"/>
      <c r="AJ8" s="86"/>
      <c r="AK8" s="87"/>
      <c r="AL8" s="49"/>
      <c r="AM8" s="88"/>
      <c r="AN8" s="86"/>
      <c r="AO8" s="86"/>
      <c r="AP8" s="86"/>
      <c r="AQ8" s="87"/>
      <c r="AR8" s="49"/>
      <c r="AS8" s="88"/>
      <c r="AT8" s="86"/>
      <c r="AU8" s="86"/>
      <c r="AV8" s="86"/>
      <c r="AW8" s="87"/>
      <c r="AX8" s="49"/>
      <c r="AY8" s="49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66"/>
      <c r="FF8" s="66" t="s">
        <v>25</v>
      </c>
      <c r="FG8" s="66" t="s">
        <v>26</v>
      </c>
      <c r="FH8" s="51"/>
      <c r="FI8" s="51"/>
      <c r="FJ8" s="51"/>
      <c r="FK8" s="51"/>
      <c r="FL8" s="51"/>
      <c r="FM8" s="51"/>
      <c r="FN8" s="51"/>
      <c r="FO8" s="51"/>
      <c r="FP8" s="51"/>
      <c r="FQ8" s="51"/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68"/>
      <c r="GN8" s="68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2"/>
      <c r="HA8" s="52"/>
      <c r="HB8" s="52"/>
      <c r="HC8" s="52"/>
      <c r="HD8" s="52"/>
      <c r="HE8" s="52"/>
      <c r="HF8" s="52"/>
      <c r="HG8" s="52"/>
      <c r="HH8" s="52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50"/>
      <c r="AR9" s="50"/>
      <c r="AS9" s="49"/>
      <c r="AT9" s="49"/>
      <c r="AU9" s="49"/>
      <c r="AV9" s="49"/>
      <c r="AW9" s="49"/>
      <c r="AX9" s="49"/>
      <c r="AY9" s="49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  <c r="EY9" s="66"/>
      <c r="EZ9" s="66"/>
      <c r="FA9" s="66"/>
      <c r="FB9" s="66"/>
      <c r="FC9" s="66"/>
      <c r="FD9" s="66"/>
      <c r="FE9" s="66"/>
      <c r="FF9" s="66" t="s">
        <v>27</v>
      </c>
      <c r="FG9" s="66" t="s">
        <v>28</v>
      </c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68"/>
      <c r="GN9" s="68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2"/>
      <c r="HA9" s="52"/>
      <c r="HB9" s="52"/>
      <c r="HC9" s="52"/>
      <c r="HD9" s="52"/>
      <c r="HE9" s="52"/>
      <c r="HF9" s="52"/>
      <c r="HG9" s="52"/>
      <c r="HH9" s="52"/>
    </row>
    <row r="10" ht="21.75" customHeight="1">
      <c r="A10" s="49"/>
      <c r="B10" s="91" t="s">
        <v>29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60"/>
      <c r="Y10" s="49"/>
      <c r="Z10" s="91" t="s">
        <v>30</v>
      </c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60"/>
      <c r="AX10" s="49"/>
      <c r="AY10" s="49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 t="s">
        <v>31</v>
      </c>
      <c r="FG10" s="66" t="s">
        <v>26</v>
      </c>
      <c r="FH10" s="51"/>
      <c r="FI10" s="51"/>
      <c r="FJ10" s="51"/>
      <c r="FK10" s="51"/>
      <c r="FL10" s="51"/>
      <c r="FM10" s="51"/>
      <c r="FN10" s="51"/>
      <c r="FO10" s="51"/>
      <c r="FP10" s="51"/>
      <c r="FQ10" s="51"/>
      <c r="FR10" s="51"/>
      <c r="FS10" s="51"/>
      <c r="FT10" s="51"/>
      <c r="FU10" s="51"/>
      <c r="FV10" s="51"/>
      <c r="FW10" s="51"/>
      <c r="FX10" s="51"/>
      <c r="FY10" s="51"/>
      <c r="FZ10" s="51"/>
      <c r="GA10" s="51"/>
      <c r="GB10" s="51"/>
      <c r="GC10" s="51"/>
      <c r="GD10" s="51"/>
      <c r="GE10" s="51"/>
      <c r="GF10" s="51"/>
      <c r="GG10" s="51"/>
      <c r="GH10" s="51"/>
      <c r="GI10" s="51"/>
      <c r="GJ10" s="51"/>
      <c r="GK10" s="51"/>
      <c r="GL10" s="51"/>
      <c r="GM10" s="68"/>
      <c r="GN10" s="68"/>
      <c r="GO10" s="51"/>
      <c r="GP10" s="51"/>
      <c r="GQ10" s="51"/>
      <c r="GR10" s="51"/>
      <c r="GS10" s="51"/>
      <c r="GT10" s="51"/>
      <c r="GU10" s="51"/>
      <c r="GV10" s="51"/>
      <c r="GW10" s="51"/>
      <c r="GX10" s="51"/>
      <c r="GY10" s="51"/>
      <c r="GZ10" s="52"/>
      <c r="HA10" s="52"/>
      <c r="HB10" s="52"/>
      <c r="HC10" s="52"/>
      <c r="HD10" s="52"/>
      <c r="HE10" s="52"/>
      <c r="HF10" s="52"/>
      <c r="HG10" s="52"/>
      <c r="HH10" s="52"/>
    </row>
    <row r="11">
      <c r="A11" s="49"/>
      <c r="B11" s="92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4"/>
      <c r="T11" s="94"/>
      <c r="U11" s="93"/>
      <c r="V11" s="93"/>
      <c r="W11" s="93"/>
      <c r="X11" s="95"/>
      <c r="Y11" s="49"/>
      <c r="Z11" s="96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8"/>
      <c r="AW11" s="97"/>
      <c r="AX11" s="49"/>
      <c r="AY11" s="49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 t="s">
        <v>32</v>
      </c>
      <c r="FG11" s="66" t="s">
        <v>33</v>
      </c>
      <c r="FH11" s="51"/>
      <c r="FI11" s="51"/>
      <c r="FJ11" s="51"/>
      <c r="FK11" s="51"/>
      <c r="FL11" s="51"/>
      <c r="FM11" s="51"/>
      <c r="FN11" s="51"/>
      <c r="FO11" s="51"/>
      <c r="FP11" s="51"/>
      <c r="FQ11" s="51"/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68"/>
      <c r="GN11" s="68"/>
      <c r="GO11" s="51"/>
      <c r="GP11" s="51"/>
      <c r="GQ11" s="51"/>
      <c r="GR11" s="51"/>
      <c r="GS11" s="51"/>
      <c r="GT11" s="51"/>
      <c r="GU11" s="51"/>
      <c r="GV11" s="51"/>
      <c r="GW11" s="51"/>
      <c r="GX11" s="51"/>
      <c r="GY11" s="51"/>
      <c r="GZ11" s="52"/>
      <c r="HA11" s="52"/>
      <c r="HB11" s="52"/>
      <c r="HC11" s="52"/>
      <c r="HD11" s="52"/>
      <c r="HE11" s="52"/>
      <c r="HF11" s="52"/>
      <c r="HG11" s="52"/>
      <c r="HH11" s="52"/>
    </row>
    <row r="12">
      <c r="A12" s="49"/>
      <c r="B12" s="92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4"/>
      <c r="T12" s="94"/>
      <c r="U12" s="93"/>
      <c r="V12" s="93"/>
      <c r="W12" s="93"/>
      <c r="X12" s="95"/>
      <c r="Y12" s="49"/>
      <c r="Z12" s="96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8"/>
      <c r="AW12" s="97"/>
      <c r="AX12" s="49"/>
      <c r="AY12" s="49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 t="s">
        <v>34</v>
      </c>
      <c r="FG12" s="66" t="s">
        <v>35</v>
      </c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68"/>
      <c r="GN12" s="68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2"/>
      <c r="HA12" s="52"/>
      <c r="HB12" s="52"/>
      <c r="HC12" s="52"/>
      <c r="HD12" s="52"/>
      <c r="HE12" s="52"/>
      <c r="HF12" s="52"/>
      <c r="HG12" s="52"/>
      <c r="HH12" s="52"/>
    </row>
    <row r="13">
      <c r="A13" s="49"/>
      <c r="B13" s="92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4"/>
      <c r="T13" s="94"/>
      <c r="U13" s="93"/>
      <c r="V13" s="93"/>
      <c r="W13" s="93"/>
      <c r="X13" s="95"/>
      <c r="Y13" s="49"/>
      <c r="Z13" s="96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8"/>
      <c r="AW13" s="97"/>
      <c r="AX13" s="49"/>
      <c r="AY13" s="49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  <c r="EY13" s="66"/>
      <c r="EZ13" s="66"/>
      <c r="FA13" s="66"/>
      <c r="FB13" s="66"/>
      <c r="FC13" s="66"/>
      <c r="FD13" s="66"/>
      <c r="FE13" s="66"/>
      <c r="FF13" s="66" t="s">
        <v>36</v>
      </c>
      <c r="FG13" s="66" t="s">
        <v>35</v>
      </c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68"/>
      <c r="GN13" s="68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2"/>
      <c r="HA13" s="52"/>
      <c r="HB13" s="52"/>
      <c r="HC13" s="52"/>
      <c r="HD13" s="52"/>
      <c r="HE13" s="52"/>
      <c r="HF13" s="52"/>
      <c r="HG13" s="52"/>
      <c r="HH13" s="52"/>
    </row>
    <row r="14">
      <c r="A14" s="49"/>
      <c r="B14" s="92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4"/>
      <c r="T14" s="94"/>
      <c r="U14" s="93"/>
      <c r="V14" s="93"/>
      <c r="W14" s="93"/>
      <c r="X14" s="95"/>
      <c r="Y14" s="49"/>
      <c r="Z14" s="96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8"/>
      <c r="AW14" s="97"/>
      <c r="AX14" s="49"/>
      <c r="AY14" s="49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68"/>
      <c r="GN14" s="68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2"/>
      <c r="HA14" s="52"/>
      <c r="HB14" s="52"/>
      <c r="HC14" s="52"/>
      <c r="HD14" s="52"/>
      <c r="HE14" s="52"/>
      <c r="HF14" s="52"/>
      <c r="HG14" s="52"/>
      <c r="HH14" s="52"/>
    </row>
    <row r="15">
      <c r="A15" s="49"/>
      <c r="B15" s="92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4"/>
      <c r="T15" s="94"/>
      <c r="U15" s="93"/>
      <c r="V15" s="93"/>
      <c r="W15" s="93"/>
      <c r="X15" s="95"/>
      <c r="Y15" s="49"/>
      <c r="Z15" s="96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8"/>
      <c r="AW15" s="97"/>
      <c r="AX15" s="49"/>
      <c r="AY15" s="49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66"/>
      <c r="FS15" s="66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68"/>
      <c r="GN15" s="68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2"/>
      <c r="HA15" s="52"/>
      <c r="HB15" s="52"/>
      <c r="HC15" s="52"/>
      <c r="HD15" s="52"/>
      <c r="HE15" s="52"/>
      <c r="HF15" s="52"/>
      <c r="HG15" s="52"/>
      <c r="HH15" s="52"/>
    </row>
    <row r="16">
      <c r="A16" s="49"/>
      <c r="B16" s="92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4"/>
      <c r="T16" s="94"/>
      <c r="U16" s="93"/>
      <c r="V16" s="93"/>
      <c r="W16" s="93"/>
      <c r="X16" s="95"/>
      <c r="Y16" s="49"/>
      <c r="Z16" s="96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8"/>
      <c r="AW16" s="97"/>
      <c r="AX16" s="49"/>
      <c r="AY16" s="4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99"/>
      <c r="DQ16" s="99"/>
      <c r="DR16" s="99"/>
      <c r="DS16" s="99"/>
      <c r="DT16" s="99"/>
      <c r="DU16" s="99"/>
      <c r="DV16" s="99"/>
      <c r="DW16" s="99"/>
      <c r="DX16" s="99"/>
      <c r="DY16" s="99"/>
      <c r="DZ16" s="99"/>
      <c r="EA16" s="99"/>
      <c r="EB16" s="99"/>
      <c r="EC16" s="99"/>
      <c r="ED16" s="99"/>
      <c r="EE16" s="99"/>
      <c r="EF16" s="99"/>
      <c r="EG16" s="99"/>
      <c r="EH16" s="99"/>
      <c r="EI16" s="99"/>
      <c r="EJ16" s="99"/>
      <c r="EK16" s="99"/>
      <c r="EL16" s="99"/>
      <c r="EM16" s="99"/>
      <c r="EN16" s="99"/>
      <c r="EO16" s="99"/>
      <c r="EP16" s="99"/>
      <c r="EQ16" s="99"/>
      <c r="ER16" s="99"/>
      <c r="ES16" s="99"/>
      <c r="ET16" s="99"/>
      <c r="EU16" s="99"/>
      <c r="EV16" s="99"/>
      <c r="EW16" s="99"/>
      <c r="EX16" s="99"/>
      <c r="EY16" s="99"/>
      <c r="EZ16" s="99"/>
      <c r="FA16" s="99"/>
      <c r="FB16" s="99"/>
      <c r="FC16" s="99"/>
      <c r="FD16" s="99"/>
      <c r="FE16" s="99"/>
      <c r="FF16" s="99" t="s">
        <v>37</v>
      </c>
      <c r="FG16" s="100"/>
      <c r="FH16" s="100"/>
      <c r="FI16" s="99"/>
      <c r="FJ16" s="100"/>
      <c r="FK16" s="100"/>
      <c r="FL16" s="99" t="s">
        <v>38</v>
      </c>
      <c r="FM16" s="100"/>
      <c r="FN16" s="100"/>
      <c r="FO16" s="100"/>
      <c r="FP16" s="100"/>
      <c r="FQ16" s="100"/>
      <c r="FR16" s="99"/>
      <c r="FS16" s="99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1"/>
      <c r="GN16" s="10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2"/>
      <c r="HA16" s="52"/>
      <c r="HB16" s="52"/>
      <c r="HC16" s="52"/>
      <c r="HD16" s="52"/>
      <c r="HE16" s="52"/>
      <c r="HF16" s="52"/>
      <c r="HG16" s="52"/>
      <c r="HH16" s="52"/>
    </row>
    <row r="17">
      <c r="A17" s="49"/>
      <c r="B17" s="92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4"/>
      <c r="T17" s="94"/>
      <c r="U17" s="93"/>
      <c r="V17" s="93"/>
      <c r="W17" s="93"/>
      <c r="X17" s="95"/>
      <c r="Y17" s="49"/>
      <c r="Z17" s="96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8"/>
      <c r="AW17" s="97"/>
      <c r="AX17" s="49"/>
      <c r="AY17" s="4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  <c r="DQ17" s="99"/>
      <c r="DR17" s="99"/>
      <c r="DS17" s="99"/>
      <c r="DT17" s="99"/>
      <c r="DU17" s="99"/>
      <c r="DV17" s="99"/>
      <c r="DW17" s="99"/>
      <c r="DX17" s="99"/>
      <c r="DY17" s="99"/>
      <c r="DZ17" s="99"/>
      <c r="EA17" s="99"/>
      <c r="EB17" s="99"/>
      <c r="EC17" s="99"/>
      <c r="ED17" s="99"/>
      <c r="EE17" s="99"/>
      <c r="EF17" s="99"/>
      <c r="EG17" s="99"/>
      <c r="EH17" s="99"/>
      <c r="EI17" s="99"/>
      <c r="EJ17" s="99"/>
      <c r="EK17" s="99"/>
      <c r="EL17" s="99"/>
      <c r="EM17" s="99"/>
      <c r="EN17" s="99"/>
      <c r="EO17" s="99"/>
      <c r="EP17" s="99"/>
      <c r="EQ17" s="99"/>
      <c r="ER17" s="99"/>
      <c r="ES17" s="99"/>
      <c r="ET17" s="99"/>
      <c r="EU17" s="99"/>
      <c r="EV17" s="99"/>
      <c r="EW17" s="99"/>
      <c r="EX17" s="99"/>
      <c r="EY17" s="99"/>
      <c r="EZ17" s="99"/>
      <c r="FA17" s="99"/>
      <c r="FB17" s="99"/>
      <c r="FC17" s="99"/>
      <c r="FD17" s="99"/>
      <c r="FE17" s="99"/>
      <c r="FF17" s="99" t="s">
        <v>39</v>
      </c>
      <c r="FG17" s="99" t="s">
        <v>40</v>
      </c>
      <c r="FH17" s="99" t="s">
        <v>41</v>
      </c>
      <c r="FI17" s="99"/>
      <c r="FJ17" s="100"/>
      <c r="FK17" s="100"/>
      <c r="FL17" s="99" t="s">
        <v>42</v>
      </c>
      <c r="FM17" s="102" t="s">
        <v>43</v>
      </c>
      <c r="FN17" s="99" t="s">
        <v>44</v>
      </c>
      <c r="FO17" s="99" t="s">
        <v>45</v>
      </c>
      <c r="FP17" s="100"/>
      <c r="FQ17" s="103"/>
      <c r="FR17" s="103"/>
      <c r="FS17" s="99" t="s">
        <v>46</v>
      </c>
      <c r="FT17" s="99" t="s">
        <v>47</v>
      </c>
      <c r="FU17" s="99" t="b">
        <v>1</v>
      </c>
      <c r="FV17" s="100"/>
      <c r="FW17" s="100"/>
      <c r="FX17" s="99" t="s">
        <v>48</v>
      </c>
      <c r="FY17" s="99" t="s">
        <v>49</v>
      </c>
      <c r="FZ17" s="99" t="s">
        <v>50</v>
      </c>
      <c r="GA17" s="99" t="s">
        <v>41</v>
      </c>
      <c r="GB17" s="104"/>
      <c r="GC17" s="100"/>
      <c r="GD17" s="100"/>
      <c r="GE17" s="100"/>
      <c r="GF17" s="100"/>
      <c r="GG17" s="100"/>
      <c r="GH17" s="100"/>
      <c r="GI17" s="100"/>
      <c r="GJ17" s="99" t="s">
        <v>51</v>
      </c>
      <c r="GK17" s="100"/>
      <c r="GL17" s="100"/>
      <c r="GM17" s="101"/>
      <c r="GN17" s="10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2"/>
      <c r="HA17" s="52"/>
      <c r="HB17" s="52"/>
      <c r="HC17" s="52"/>
      <c r="HD17" s="52"/>
      <c r="HE17" s="52"/>
      <c r="HF17" s="52"/>
      <c r="HG17" s="52"/>
      <c r="HH17" s="52"/>
    </row>
    <row r="18">
      <c r="A18" s="49"/>
      <c r="B18" s="92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4"/>
      <c r="T18" s="94"/>
      <c r="U18" s="93"/>
      <c r="V18" s="93"/>
      <c r="W18" s="93"/>
      <c r="X18" s="95"/>
      <c r="Y18" s="49"/>
      <c r="Z18" s="96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8"/>
      <c r="AW18" s="97"/>
      <c r="AX18" s="49"/>
      <c r="AY18" s="49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105">
        <f t="array" ref="FF18:FF48">TRANSPOSE(L29:AP29)</f>
        <v>45992</v>
      </c>
      <c r="FG18" s="106">
        <f t="array" ref="FG18:FG48">TRANSPOSE(L53:AP53)</f>
        <v>1</v>
      </c>
      <c r="FH18" s="106">
        <f t="shared" ref="FH18:FH48" si="2">IF(FG18=0,"",FG18)</f>
        <v>1</v>
      </c>
      <c r="FI18" s="51"/>
      <c r="FJ18" s="51"/>
      <c r="FK18" s="66">
        <v>1.0</v>
      </c>
      <c r="FL18" s="51" t="str">
        <f t="array" ref="FL18:FL19">unique(G30:G49)</f>
        <v>Health ❤️‍🩹</v>
      </c>
      <c r="FM18" s="66">
        <f t="shared" ref="FM18:FM37" si="3">IF(SUMIF($G$30:$G$49,FL18,$J$30:$J$49)=0,"",SUMIF($G$30:$G$49,FL18,$J$30:$J$49))</f>
        <v>25</v>
      </c>
      <c r="FN18" s="66">
        <f t="shared" ref="FN18:FN37" si="4">IF(SUMIF($FT$18:$FT$37,FL18,$FU$18:$FU$37)=0,"",SUMIF($FT$18:$FT$37,FL18,$FU$18:$FU$37))</f>
        <v>1</v>
      </c>
      <c r="FO18" s="51">
        <f t="shared" ref="FO18:FO37" si="5">IF(IF(FM18="","",FM18-FN18)&lt;0,0,IF(FM18="","",FM18-FN18))</f>
        <v>24</v>
      </c>
      <c r="FP18" s="51"/>
      <c r="FQ18" s="104"/>
      <c r="FR18" s="104"/>
      <c r="FS18" s="66">
        <v>1.0</v>
      </c>
      <c r="FT18" s="66" t="str">
        <f t="shared" ref="FT18:FT37" si="6">G30</f>
        <v>Health ❤️‍🩹</v>
      </c>
      <c r="FU18" s="66">
        <f t="shared" ref="FU18:FU37" si="7">COUNTIF(L30:AP30,TRUE)</f>
        <v>1</v>
      </c>
      <c r="FV18" s="51"/>
      <c r="FW18" s="51"/>
      <c r="FX18" s="66" t="s">
        <v>11</v>
      </c>
      <c r="FY18" s="51">
        <f>SUM(L51:R51)</f>
        <v>1</v>
      </c>
      <c r="FZ18" s="51">
        <f>GA18-FY18</f>
        <v>6</v>
      </c>
      <c r="GA18" s="51">
        <f>COUNTA($B$30:$F$49)*7</f>
        <v>7</v>
      </c>
      <c r="GB18" s="104"/>
      <c r="GC18" s="51"/>
      <c r="GD18" s="51"/>
      <c r="GE18" s="51"/>
      <c r="GF18" s="51"/>
      <c r="GG18" s="51"/>
      <c r="GH18" s="51"/>
      <c r="GI18" s="51"/>
      <c r="GJ18" s="99" t="s">
        <v>48</v>
      </c>
      <c r="GK18" s="99" t="s">
        <v>49</v>
      </c>
      <c r="GL18" s="99" t="s">
        <v>50</v>
      </c>
      <c r="GM18" s="99" t="s">
        <v>41</v>
      </c>
      <c r="GN18" s="68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2"/>
      <c r="HA18" s="52"/>
      <c r="HB18" s="52"/>
      <c r="HC18" s="52"/>
      <c r="HD18" s="52"/>
      <c r="HE18" s="52"/>
      <c r="HF18" s="52"/>
      <c r="HG18" s="52"/>
      <c r="HH18" s="52"/>
    </row>
    <row r="19">
      <c r="A19" s="49"/>
      <c r="B19" s="92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3"/>
      <c r="V19" s="93"/>
      <c r="W19" s="93"/>
      <c r="X19" s="95"/>
      <c r="Y19" s="49"/>
      <c r="Z19" s="96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8"/>
      <c r="AW19" s="97"/>
      <c r="AX19" s="49"/>
      <c r="AY19" s="49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105">
        <v>45993.0</v>
      </c>
      <c r="FG19" s="106">
        <v>0.0</v>
      </c>
      <c r="FH19" s="51" t="str">
        <f t="shared" si="2"/>
        <v/>
      </c>
      <c r="FI19" s="51"/>
      <c r="FJ19" s="51"/>
      <c r="FK19" s="66">
        <v>2.0</v>
      </c>
      <c r="FL19" s="51"/>
      <c r="FM19" s="66" t="str">
        <f t="shared" si="3"/>
        <v/>
      </c>
      <c r="FN19" s="66" t="str">
        <f t="shared" si="4"/>
        <v/>
      </c>
      <c r="FO19" s="51" t="str">
        <f t="shared" si="5"/>
        <v/>
      </c>
      <c r="FP19" s="51"/>
      <c r="FQ19" s="104"/>
      <c r="FR19" s="104"/>
      <c r="FS19" s="66">
        <v>2.0</v>
      </c>
      <c r="FT19" s="66" t="str">
        <f t="shared" si="6"/>
        <v/>
      </c>
      <c r="FU19" s="66">
        <f t="shared" si="7"/>
        <v>0</v>
      </c>
      <c r="FV19" s="51"/>
      <c r="FW19" s="51"/>
      <c r="FX19" s="104"/>
      <c r="FY19" s="104"/>
      <c r="FZ19" s="104"/>
      <c r="GA19" s="104"/>
      <c r="GB19" s="104"/>
      <c r="GC19" s="51"/>
      <c r="GD19" s="51"/>
      <c r="GE19" s="51"/>
      <c r="GF19" s="51"/>
      <c r="GG19" s="51"/>
      <c r="GH19" s="51"/>
      <c r="GI19" s="51"/>
      <c r="GJ19" s="66" t="s">
        <v>11</v>
      </c>
      <c r="GK19" s="51">
        <f>C59</f>
        <v>0</v>
      </c>
      <c r="GL19" s="51">
        <f>GM19-GK19</f>
        <v>0</v>
      </c>
      <c r="GM19" s="51">
        <f>F59</f>
        <v>0</v>
      </c>
      <c r="GN19" s="68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2"/>
      <c r="HA19" s="52"/>
      <c r="HB19" s="52"/>
      <c r="HC19" s="52"/>
      <c r="HD19" s="52"/>
      <c r="HE19" s="52"/>
      <c r="HF19" s="52"/>
      <c r="HG19" s="52"/>
      <c r="HH19" s="52"/>
    </row>
    <row r="20">
      <c r="A20" s="49"/>
      <c r="B20" s="92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4"/>
      <c r="T20" s="94"/>
      <c r="U20" s="93"/>
      <c r="V20" s="93"/>
      <c r="W20" s="93"/>
      <c r="X20" s="95"/>
      <c r="Y20" s="49"/>
      <c r="Z20" s="96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8"/>
      <c r="AW20" s="97"/>
      <c r="AX20" s="49"/>
      <c r="AY20" s="49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  <c r="DS20" s="51"/>
      <c r="DT20" s="51"/>
      <c r="DU20" s="51"/>
      <c r="DV20" s="51"/>
      <c r="DW20" s="51"/>
      <c r="DX20" s="51"/>
      <c r="DY20" s="51"/>
      <c r="DZ20" s="51"/>
      <c r="EA20" s="51"/>
      <c r="EB20" s="51"/>
      <c r="EC20" s="51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105">
        <v>45994.0</v>
      </c>
      <c r="FG20" s="106">
        <v>0.0</v>
      </c>
      <c r="FH20" s="51" t="str">
        <f t="shared" si="2"/>
        <v/>
      </c>
      <c r="FI20" s="51"/>
      <c r="FJ20" s="51"/>
      <c r="FK20" s="66">
        <v>3.0</v>
      </c>
      <c r="FL20" s="51"/>
      <c r="FM20" s="66" t="str">
        <f t="shared" si="3"/>
        <v/>
      </c>
      <c r="FN20" s="66" t="str">
        <f t="shared" si="4"/>
        <v/>
      </c>
      <c r="FO20" s="51" t="str">
        <f t="shared" si="5"/>
        <v/>
      </c>
      <c r="FP20" s="51"/>
      <c r="FQ20" s="104"/>
      <c r="FR20" s="104"/>
      <c r="FS20" s="66">
        <v>3.0</v>
      </c>
      <c r="FT20" s="66" t="str">
        <f t="shared" si="6"/>
        <v/>
      </c>
      <c r="FU20" s="66">
        <f t="shared" si="7"/>
        <v>0</v>
      </c>
      <c r="FV20" s="51"/>
      <c r="FW20" s="51"/>
      <c r="FX20" s="99" t="s">
        <v>48</v>
      </c>
      <c r="FY20" s="99" t="s">
        <v>49</v>
      </c>
      <c r="FZ20" s="99" t="s">
        <v>50</v>
      </c>
      <c r="GA20" s="99" t="s">
        <v>41</v>
      </c>
      <c r="GB20" s="104"/>
      <c r="GC20" s="51"/>
      <c r="GD20" s="51"/>
      <c r="GE20" s="51"/>
      <c r="GF20" s="51"/>
      <c r="GG20" s="51"/>
      <c r="GH20" s="51"/>
      <c r="GI20" s="51"/>
      <c r="GJ20" s="104"/>
      <c r="GK20" s="104"/>
      <c r="GL20" s="104"/>
      <c r="GM20" s="104"/>
      <c r="GN20" s="68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2"/>
      <c r="HA20" s="52"/>
      <c r="HB20" s="52"/>
      <c r="HC20" s="52"/>
      <c r="HD20" s="52"/>
      <c r="HE20" s="52"/>
      <c r="HF20" s="52"/>
      <c r="HG20" s="52"/>
      <c r="HH20" s="52"/>
    </row>
    <row r="21">
      <c r="A21" s="49"/>
      <c r="B21" s="92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4"/>
      <c r="T21" s="94"/>
      <c r="U21" s="93"/>
      <c r="V21" s="93"/>
      <c r="W21" s="93"/>
      <c r="X21" s="95"/>
      <c r="Y21" s="49"/>
      <c r="Z21" s="96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8"/>
      <c r="AW21" s="97"/>
      <c r="AX21" s="49"/>
      <c r="AY21" s="49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105">
        <v>45995.0</v>
      </c>
      <c r="FG21" s="106">
        <v>0.0</v>
      </c>
      <c r="FH21" s="51" t="str">
        <f t="shared" si="2"/>
        <v/>
      </c>
      <c r="FI21" s="51"/>
      <c r="FJ21" s="51"/>
      <c r="FK21" s="66">
        <v>4.0</v>
      </c>
      <c r="FL21" s="51"/>
      <c r="FM21" s="66" t="str">
        <f t="shared" si="3"/>
        <v/>
      </c>
      <c r="FN21" s="66" t="str">
        <f t="shared" si="4"/>
        <v/>
      </c>
      <c r="FO21" s="51" t="str">
        <f t="shared" si="5"/>
        <v/>
      </c>
      <c r="FP21" s="51"/>
      <c r="FQ21" s="104"/>
      <c r="FR21" s="104"/>
      <c r="FS21" s="66">
        <v>4.0</v>
      </c>
      <c r="FT21" s="66" t="str">
        <f t="shared" si="6"/>
        <v/>
      </c>
      <c r="FU21" s="66">
        <f t="shared" si="7"/>
        <v>0</v>
      </c>
      <c r="FV21" s="51"/>
      <c r="FW21" s="51"/>
      <c r="FX21" s="66" t="s">
        <v>12</v>
      </c>
      <c r="FY21" s="51">
        <f>SUM(S51:Y51)</f>
        <v>0</v>
      </c>
      <c r="FZ21" s="51">
        <f>GA21-FY21</f>
        <v>7</v>
      </c>
      <c r="GA21" s="51">
        <f>COUNTA($B$30:$F$49)*7</f>
        <v>7</v>
      </c>
      <c r="GB21" s="104"/>
      <c r="GC21" s="51"/>
      <c r="GD21" s="51"/>
      <c r="GE21" s="51"/>
      <c r="GF21" s="51"/>
      <c r="GG21" s="51"/>
      <c r="GH21" s="51"/>
      <c r="GI21" s="51"/>
      <c r="GJ21" s="99" t="s">
        <v>48</v>
      </c>
      <c r="GK21" s="99" t="s">
        <v>49</v>
      </c>
      <c r="GL21" s="99" t="s">
        <v>50</v>
      </c>
      <c r="GM21" s="99" t="s">
        <v>41</v>
      </c>
      <c r="GN21" s="68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2"/>
      <c r="HA21" s="52"/>
      <c r="HB21" s="52"/>
      <c r="HC21" s="52"/>
      <c r="HD21" s="52"/>
      <c r="HE21" s="52"/>
      <c r="HF21" s="52"/>
      <c r="HG21" s="52"/>
      <c r="HH21" s="52"/>
    </row>
    <row r="22">
      <c r="A22" s="49"/>
      <c r="B22" s="92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4"/>
      <c r="T22" s="94"/>
      <c r="U22" s="93"/>
      <c r="V22" s="93"/>
      <c r="W22" s="93"/>
      <c r="X22" s="95"/>
      <c r="Y22" s="49"/>
      <c r="Z22" s="96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8"/>
      <c r="AW22" s="97"/>
      <c r="AX22" s="49"/>
      <c r="AY22" s="49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 s="51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105">
        <v>45996.0</v>
      </c>
      <c r="FG22" s="106">
        <v>0.0</v>
      </c>
      <c r="FH22" s="51" t="str">
        <f t="shared" si="2"/>
        <v/>
      </c>
      <c r="FI22" s="51"/>
      <c r="FJ22" s="51"/>
      <c r="FK22" s="66">
        <v>5.0</v>
      </c>
      <c r="FL22" s="51"/>
      <c r="FM22" s="66" t="str">
        <f t="shared" si="3"/>
        <v/>
      </c>
      <c r="FN22" s="66" t="str">
        <f t="shared" si="4"/>
        <v/>
      </c>
      <c r="FO22" s="51" t="str">
        <f t="shared" si="5"/>
        <v/>
      </c>
      <c r="FP22" s="51"/>
      <c r="FQ22" s="104"/>
      <c r="FR22" s="104"/>
      <c r="FS22" s="66">
        <v>5.0</v>
      </c>
      <c r="FT22" s="66" t="str">
        <f t="shared" si="6"/>
        <v/>
      </c>
      <c r="FU22" s="66">
        <f t="shared" si="7"/>
        <v>0</v>
      </c>
      <c r="FV22" s="51"/>
      <c r="FW22" s="51"/>
      <c r="FX22" s="104"/>
      <c r="FY22" s="104"/>
      <c r="FZ22" s="104"/>
      <c r="GA22" s="104"/>
      <c r="GB22" s="104"/>
      <c r="GC22" s="51"/>
      <c r="GD22" s="51"/>
      <c r="GE22" s="51"/>
      <c r="GF22" s="51"/>
      <c r="GG22" s="51"/>
      <c r="GH22" s="51"/>
      <c r="GI22" s="51"/>
      <c r="GJ22" s="66" t="s">
        <v>12</v>
      </c>
      <c r="GK22" s="51">
        <f>C63</f>
        <v>0</v>
      </c>
      <c r="GL22" s="51">
        <f>GM22-GK22</f>
        <v>0</v>
      </c>
      <c r="GM22" s="51">
        <f>F63</f>
        <v>0</v>
      </c>
      <c r="GN22" s="68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2"/>
      <c r="HA22" s="52"/>
      <c r="HB22" s="52"/>
      <c r="HC22" s="52"/>
      <c r="HD22" s="52"/>
      <c r="HE22" s="52"/>
      <c r="HF22" s="52"/>
      <c r="HG22" s="52"/>
      <c r="HH22" s="52"/>
    </row>
    <row r="23">
      <c r="A23" s="49"/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4"/>
      <c r="T23" s="94"/>
      <c r="U23" s="93"/>
      <c r="V23" s="93"/>
      <c r="W23" s="93"/>
      <c r="X23" s="95"/>
      <c r="Y23" s="49"/>
      <c r="Z23" s="96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8"/>
      <c r="AW23" s="97"/>
      <c r="AX23" s="49"/>
      <c r="AY23" s="49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 s="51"/>
      <c r="DT23" s="51"/>
      <c r="DU23" s="51"/>
      <c r="DV23" s="51"/>
      <c r="DW23" s="51"/>
      <c r="DX23" s="51"/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105">
        <v>45997.0</v>
      </c>
      <c r="FG23" s="106">
        <v>0.0</v>
      </c>
      <c r="FH23" s="51" t="str">
        <f t="shared" si="2"/>
        <v/>
      </c>
      <c r="FI23" s="51"/>
      <c r="FJ23" s="51"/>
      <c r="FK23" s="66">
        <v>6.0</v>
      </c>
      <c r="FL23" s="51"/>
      <c r="FM23" s="66" t="str">
        <f t="shared" si="3"/>
        <v/>
      </c>
      <c r="FN23" s="66" t="str">
        <f t="shared" si="4"/>
        <v/>
      </c>
      <c r="FO23" s="51" t="str">
        <f t="shared" si="5"/>
        <v/>
      </c>
      <c r="FP23" s="51"/>
      <c r="FQ23" s="104"/>
      <c r="FR23" s="104"/>
      <c r="FS23" s="66">
        <v>6.0</v>
      </c>
      <c r="FT23" s="66" t="str">
        <f t="shared" si="6"/>
        <v/>
      </c>
      <c r="FU23" s="66">
        <f t="shared" si="7"/>
        <v>0</v>
      </c>
      <c r="FV23" s="51"/>
      <c r="FW23" s="51"/>
      <c r="FX23" s="99" t="s">
        <v>48</v>
      </c>
      <c r="FY23" s="99" t="s">
        <v>49</v>
      </c>
      <c r="FZ23" s="99" t="s">
        <v>50</v>
      </c>
      <c r="GA23" s="99" t="s">
        <v>41</v>
      </c>
      <c r="GB23" s="104"/>
      <c r="GC23" s="51"/>
      <c r="GD23" s="51"/>
      <c r="GE23" s="51"/>
      <c r="GF23" s="51"/>
      <c r="GG23" s="51"/>
      <c r="GH23" s="51"/>
      <c r="GI23" s="51"/>
      <c r="GJ23" s="104"/>
      <c r="GK23" s="104"/>
      <c r="GL23" s="104"/>
      <c r="GM23" s="104"/>
      <c r="GN23" s="68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2"/>
      <c r="HA23" s="52"/>
      <c r="HB23" s="52"/>
      <c r="HC23" s="52"/>
      <c r="HD23" s="52"/>
      <c r="HE23" s="52"/>
      <c r="HF23" s="52"/>
      <c r="HG23" s="52"/>
      <c r="HH23" s="52"/>
    </row>
    <row r="24">
      <c r="A24" s="49"/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9"/>
      <c r="T24" s="109"/>
      <c r="U24" s="110"/>
      <c r="V24" s="110"/>
      <c r="W24" s="110"/>
      <c r="X24" s="111"/>
      <c r="Y24" s="112"/>
      <c r="Z24" s="113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90"/>
      <c r="AW24" s="97"/>
      <c r="AX24" s="49"/>
      <c r="AY24" s="49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  <c r="DS24" s="51"/>
      <c r="DT24" s="51"/>
      <c r="DU24" s="51"/>
      <c r="DV24" s="51"/>
      <c r="DW24" s="51"/>
      <c r="DX24" s="51"/>
      <c r="DY24" s="51"/>
      <c r="DZ24" s="51"/>
      <c r="EA24" s="51"/>
      <c r="EB24" s="51"/>
      <c r="EC24" s="51"/>
      <c r="ED24" s="51"/>
      <c r="EE24" s="51"/>
      <c r="EF24" s="51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1"/>
      <c r="ES24" s="51"/>
      <c r="ET24" s="51"/>
      <c r="EU24" s="51"/>
      <c r="EV24" s="51"/>
      <c r="EW24" s="51"/>
      <c r="EX24" s="51"/>
      <c r="EY24" s="51"/>
      <c r="EZ24" s="51"/>
      <c r="FA24" s="51"/>
      <c r="FB24" s="51"/>
      <c r="FC24" s="51"/>
      <c r="FD24" s="51"/>
      <c r="FE24" s="51"/>
      <c r="FF24" s="105">
        <v>45998.0</v>
      </c>
      <c r="FG24" s="106">
        <v>0.0</v>
      </c>
      <c r="FH24" s="51" t="str">
        <f t="shared" si="2"/>
        <v/>
      </c>
      <c r="FI24" s="51"/>
      <c r="FJ24" s="51"/>
      <c r="FK24" s="66">
        <v>7.0</v>
      </c>
      <c r="FL24" s="51"/>
      <c r="FM24" s="66" t="str">
        <f t="shared" si="3"/>
        <v/>
      </c>
      <c r="FN24" s="66" t="str">
        <f t="shared" si="4"/>
        <v/>
      </c>
      <c r="FO24" s="51" t="str">
        <f t="shared" si="5"/>
        <v/>
      </c>
      <c r="FP24" s="51"/>
      <c r="FQ24" s="104"/>
      <c r="FR24" s="104"/>
      <c r="FS24" s="66">
        <v>7.0</v>
      </c>
      <c r="FT24" s="66" t="str">
        <f t="shared" si="6"/>
        <v/>
      </c>
      <c r="FU24" s="66">
        <f t="shared" si="7"/>
        <v>0</v>
      </c>
      <c r="FV24" s="51"/>
      <c r="FW24" s="51"/>
      <c r="FX24" s="66" t="s">
        <v>13</v>
      </c>
      <c r="FY24" s="51">
        <f>SUM(Z51:AF51)</f>
        <v>0</v>
      </c>
      <c r="FZ24" s="51">
        <f>GA24-FY24</f>
        <v>7</v>
      </c>
      <c r="GA24" s="51">
        <f>COUNTA($B$30:$F$49)*7</f>
        <v>7</v>
      </c>
      <c r="GB24" s="104"/>
      <c r="GC24" s="51"/>
      <c r="GD24" s="51"/>
      <c r="GE24" s="51"/>
      <c r="GF24" s="51"/>
      <c r="GG24" s="51"/>
      <c r="GH24" s="51"/>
      <c r="GI24" s="51"/>
      <c r="GJ24" s="99" t="s">
        <v>48</v>
      </c>
      <c r="GK24" s="99" t="s">
        <v>49</v>
      </c>
      <c r="GL24" s="99" t="s">
        <v>50</v>
      </c>
      <c r="GM24" s="99" t="s">
        <v>41</v>
      </c>
      <c r="GN24" s="68"/>
      <c r="GO24" s="51"/>
      <c r="GP24" s="51"/>
      <c r="GQ24" s="51"/>
      <c r="GR24" s="51"/>
      <c r="GS24" s="51"/>
      <c r="GT24" s="51"/>
      <c r="GU24" s="51"/>
      <c r="GV24" s="51"/>
      <c r="GW24" s="51"/>
      <c r="GX24" s="51"/>
      <c r="GY24" s="51"/>
      <c r="GZ24" s="52"/>
      <c r="HA24" s="52"/>
      <c r="HB24" s="52"/>
      <c r="HC24" s="52"/>
      <c r="HD24" s="52"/>
      <c r="HE24" s="52"/>
      <c r="HF24" s="52"/>
      <c r="HG24" s="52"/>
      <c r="HH24" s="52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50"/>
      <c r="AR25" s="50"/>
      <c r="AS25" s="49"/>
      <c r="AT25" s="49"/>
      <c r="AU25" s="49"/>
      <c r="AV25" s="49"/>
      <c r="AW25" s="49"/>
      <c r="AX25" s="49"/>
      <c r="AY25" s="49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  <c r="DT25" s="51"/>
      <c r="DU25" s="51"/>
      <c r="DV25" s="51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105">
        <v>45999.0</v>
      </c>
      <c r="FG25" s="106">
        <v>0.0</v>
      </c>
      <c r="FH25" s="51" t="str">
        <f t="shared" si="2"/>
        <v/>
      </c>
      <c r="FI25" s="51"/>
      <c r="FJ25" s="51"/>
      <c r="FK25" s="66">
        <v>8.0</v>
      </c>
      <c r="FL25" s="51"/>
      <c r="FM25" s="66" t="str">
        <f t="shared" si="3"/>
        <v/>
      </c>
      <c r="FN25" s="66" t="str">
        <f t="shared" si="4"/>
        <v/>
      </c>
      <c r="FO25" s="51" t="str">
        <f t="shared" si="5"/>
        <v/>
      </c>
      <c r="FP25" s="51"/>
      <c r="FQ25" s="104"/>
      <c r="FR25" s="104"/>
      <c r="FS25" s="66">
        <v>8.0</v>
      </c>
      <c r="FT25" s="66" t="str">
        <f t="shared" si="6"/>
        <v/>
      </c>
      <c r="FU25" s="66">
        <f t="shared" si="7"/>
        <v>0</v>
      </c>
      <c r="FV25" s="51"/>
      <c r="FW25" s="51"/>
      <c r="FX25" s="104"/>
      <c r="FY25" s="104"/>
      <c r="FZ25" s="104"/>
      <c r="GA25" s="104"/>
      <c r="GB25" s="104"/>
      <c r="GC25" s="51"/>
      <c r="GD25" s="51"/>
      <c r="GE25" s="51"/>
      <c r="GF25" s="51"/>
      <c r="GG25" s="51"/>
      <c r="GH25" s="51"/>
      <c r="GI25" s="51"/>
      <c r="GJ25" s="66" t="s">
        <v>13</v>
      </c>
      <c r="GK25" s="51">
        <f>C67</f>
        <v>0</v>
      </c>
      <c r="GL25" s="114">
        <f>GM25-GK25</f>
        <v>0</v>
      </c>
      <c r="GM25" s="114">
        <f>F67</f>
        <v>0</v>
      </c>
      <c r="GN25" s="68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2"/>
      <c r="HA25" s="52"/>
      <c r="HB25" s="52"/>
      <c r="HC25" s="52"/>
      <c r="HD25" s="52"/>
      <c r="HE25" s="52"/>
      <c r="HF25" s="52"/>
      <c r="HG25" s="52"/>
      <c r="HH25" s="52"/>
    </row>
    <row r="26">
      <c r="A26" s="115"/>
      <c r="B26" s="116" t="s">
        <v>52</v>
      </c>
      <c r="C26" s="54"/>
      <c r="D26" s="54"/>
      <c r="E26" s="54"/>
      <c r="F26" s="54"/>
      <c r="G26" s="54"/>
      <c r="H26" s="54"/>
      <c r="I26" s="54"/>
      <c r="J26" s="54"/>
      <c r="K26" s="55"/>
      <c r="L26" s="117" t="s">
        <v>11</v>
      </c>
      <c r="M26" s="54"/>
      <c r="N26" s="54"/>
      <c r="O26" s="54"/>
      <c r="P26" s="54"/>
      <c r="Q26" s="54"/>
      <c r="R26" s="55"/>
      <c r="S26" s="118" t="s">
        <v>12</v>
      </c>
      <c r="T26" s="54"/>
      <c r="U26" s="54"/>
      <c r="V26" s="54"/>
      <c r="W26" s="54"/>
      <c r="X26" s="54"/>
      <c r="Y26" s="55"/>
      <c r="Z26" s="119" t="s">
        <v>13</v>
      </c>
      <c r="AA26" s="54"/>
      <c r="AB26" s="54"/>
      <c r="AC26" s="54"/>
      <c r="AD26" s="54"/>
      <c r="AE26" s="54"/>
      <c r="AF26" s="55"/>
      <c r="AG26" s="120" t="s">
        <v>14</v>
      </c>
      <c r="AH26" s="54"/>
      <c r="AI26" s="54"/>
      <c r="AJ26" s="54"/>
      <c r="AK26" s="54"/>
      <c r="AL26" s="54"/>
      <c r="AM26" s="55"/>
      <c r="AN26" s="121" t="str">
        <f>IF(AN29="","","WEEK 5")</f>
        <v>WEEK 5</v>
      </c>
      <c r="AO26" s="54"/>
      <c r="AP26" s="55"/>
      <c r="AQ26" s="122" t="s">
        <v>53</v>
      </c>
      <c r="AR26" s="54"/>
      <c r="AS26" s="54"/>
      <c r="AT26" s="54"/>
      <c r="AU26" s="54"/>
      <c r="AV26" s="54"/>
      <c r="AW26" s="55"/>
      <c r="AX26" s="123"/>
      <c r="AY26" s="123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105">
        <v>46000.0</v>
      </c>
      <c r="FG26" s="106">
        <v>0.0</v>
      </c>
      <c r="FH26" s="51" t="str">
        <f t="shared" si="2"/>
        <v/>
      </c>
      <c r="FI26" s="51"/>
      <c r="FJ26" s="51"/>
      <c r="FK26" s="66">
        <v>9.0</v>
      </c>
      <c r="FL26" s="51"/>
      <c r="FM26" s="66" t="str">
        <f t="shared" si="3"/>
        <v/>
      </c>
      <c r="FN26" s="66" t="str">
        <f t="shared" si="4"/>
        <v/>
      </c>
      <c r="FO26" s="51" t="str">
        <f t="shared" si="5"/>
        <v/>
      </c>
      <c r="FP26" s="51"/>
      <c r="FQ26" s="104"/>
      <c r="FR26" s="104"/>
      <c r="FS26" s="66">
        <v>9.0</v>
      </c>
      <c r="FT26" s="66" t="str">
        <f t="shared" si="6"/>
        <v/>
      </c>
      <c r="FU26" s="66">
        <f t="shared" si="7"/>
        <v>0</v>
      </c>
      <c r="FV26" s="51"/>
      <c r="FW26" s="51"/>
      <c r="FX26" s="99" t="s">
        <v>48</v>
      </c>
      <c r="FY26" s="99" t="s">
        <v>49</v>
      </c>
      <c r="FZ26" s="99" t="s">
        <v>50</v>
      </c>
      <c r="GA26" s="99" t="s">
        <v>41</v>
      </c>
      <c r="GB26" s="104"/>
      <c r="GC26" s="51"/>
      <c r="GD26" s="51"/>
      <c r="GE26" s="51"/>
      <c r="GF26" s="51"/>
      <c r="GG26" s="51"/>
      <c r="GH26" s="51"/>
      <c r="GI26" s="51"/>
      <c r="GJ26" s="104"/>
      <c r="GK26" s="104"/>
      <c r="GL26" s="104"/>
      <c r="GM26" s="104"/>
      <c r="GN26" s="68"/>
      <c r="GO26" s="124"/>
      <c r="GP26" s="124"/>
      <c r="GQ26" s="124"/>
      <c r="GR26" s="124"/>
      <c r="GS26" s="124"/>
      <c r="GT26" s="124"/>
      <c r="GU26" s="124"/>
      <c r="GV26" s="124"/>
      <c r="GW26" s="124"/>
      <c r="GX26" s="124"/>
      <c r="GY26" s="124"/>
      <c r="GZ26" s="125"/>
      <c r="HA26" s="125"/>
      <c r="HB26" s="125"/>
      <c r="HC26" s="125"/>
      <c r="HD26" s="125"/>
      <c r="HE26" s="125"/>
      <c r="HF26" s="125"/>
      <c r="HG26" s="125"/>
      <c r="HH26" s="125"/>
    </row>
    <row r="27">
      <c r="A27" s="115"/>
      <c r="B27" s="69"/>
      <c r="K27" s="70"/>
      <c r="L27" s="69"/>
      <c r="R27" s="70"/>
      <c r="S27" s="69"/>
      <c r="Y27" s="70"/>
      <c r="Z27" s="69"/>
      <c r="AF27" s="70"/>
      <c r="AG27" s="69"/>
      <c r="AM27" s="70"/>
      <c r="AN27" s="69"/>
      <c r="AP27" s="70"/>
      <c r="AQ27" s="69"/>
      <c r="AW27" s="70"/>
      <c r="AX27" s="123"/>
      <c r="AY27" s="123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/>
      <c r="FE27" s="51"/>
      <c r="FF27" s="105">
        <v>46001.0</v>
      </c>
      <c r="FG27" s="106">
        <v>0.0</v>
      </c>
      <c r="FH27" s="51" t="str">
        <f t="shared" si="2"/>
        <v/>
      </c>
      <c r="FI27" s="51"/>
      <c r="FJ27" s="51"/>
      <c r="FK27" s="66">
        <v>10.0</v>
      </c>
      <c r="FL27" s="51"/>
      <c r="FM27" s="66" t="str">
        <f t="shared" si="3"/>
        <v/>
      </c>
      <c r="FN27" s="66" t="str">
        <f t="shared" si="4"/>
        <v/>
      </c>
      <c r="FO27" s="51" t="str">
        <f t="shared" si="5"/>
        <v/>
      </c>
      <c r="FP27" s="51"/>
      <c r="FQ27" s="104"/>
      <c r="FR27" s="104"/>
      <c r="FS27" s="66">
        <v>10.0</v>
      </c>
      <c r="FT27" s="66" t="str">
        <f t="shared" si="6"/>
        <v/>
      </c>
      <c r="FU27" s="66">
        <f t="shared" si="7"/>
        <v>0</v>
      </c>
      <c r="FV27" s="51"/>
      <c r="FW27" s="51"/>
      <c r="FX27" s="66" t="s">
        <v>14</v>
      </c>
      <c r="FY27" s="51">
        <f>SUM(AG51:AM51)</f>
        <v>0</v>
      </c>
      <c r="FZ27" s="51">
        <f>GA27-FY27</f>
        <v>7</v>
      </c>
      <c r="GA27" s="51">
        <f>COUNTA($B$30:$F$49)*7</f>
        <v>7</v>
      </c>
      <c r="GB27" s="104"/>
      <c r="GC27" s="51"/>
      <c r="GD27" s="51"/>
      <c r="GE27" s="51"/>
      <c r="GF27" s="51"/>
      <c r="GG27" s="51"/>
      <c r="GH27" s="51"/>
      <c r="GI27" s="51"/>
      <c r="GJ27" s="99" t="s">
        <v>48</v>
      </c>
      <c r="GK27" s="99" t="s">
        <v>49</v>
      </c>
      <c r="GL27" s="99" t="s">
        <v>50</v>
      </c>
      <c r="GM27" s="99" t="s">
        <v>41</v>
      </c>
      <c r="GN27" s="68"/>
      <c r="GO27" s="124"/>
      <c r="GP27" s="124"/>
      <c r="GQ27" s="124"/>
      <c r="GR27" s="124"/>
      <c r="GS27" s="124"/>
      <c r="GT27" s="124"/>
      <c r="GU27" s="124"/>
      <c r="GV27" s="124"/>
      <c r="GW27" s="124"/>
      <c r="GX27" s="124"/>
      <c r="GY27" s="124"/>
      <c r="GZ27" s="125"/>
      <c r="HA27" s="125"/>
      <c r="HB27" s="125"/>
      <c r="HC27" s="125"/>
      <c r="HD27" s="125"/>
      <c r="HE27" s="125"/>
      <c r="HF27" s="125"/>
      <c r="HG27" s="125"/>
      <c r="HH27" s="125"/>
    </row>
    <row r="28">
      <c r="A28" s="49"/>
      <c r="B28" s="126" t="s">
        <v>41</v>
      </c>
      <c r="G28" s="127" t="s">
        <v>47</v>
      </c>
      <c r="J28" s="128" t="s">
        <v>54</v>
      </c>
      <c r="K28" s="70"/>
      <c r="L28" s="129" t="str">
        <f t="shared" ref="L28:AM28" si="8">VLOOKUP(FH2,$FF$7:$FG$13,2,FALSE)</f>
        <v>M</v>
      </c>
      <c r="M28" s="130" t="str">
        <f t="shared" si="8"/>
        <v>T</v>
      </c>
      <c r="N28" s="130" t="str">
        <f t="shared" si="8"/>
        <v>W</v>
      </c>
      <c r="O28" s="130" t="str">
        <f t="shared" si="8"/>
        <v>T</v>
      </c>
      <c r="P28" s="130" t="str">
        <f t="shared" si="8"/>
        <v>F</v>
      </c>
      <c r="Q28" s="130" t="str">
        <f t="shared" si="8"/>
        <v>S</v>
      </c>
      <c r="R28" s="131" t="str">
        <f t="shared" si="8"/>
        <v>S</v>
      </c>
      <c r="S28" s="132" t="str">
        <f t="shared" si="8"/>
        <v>M</v>
      </c>
      <c r="T28" s="133" t="str">
        <f t="shared" si="8"/>
        <v>T</v>
      </c>
      <c r="U28" s="133" t="str">
        <f t="shared" si="8"/>
        <v>W</v>
      </c>
      <c r="V28" s="133" t="str">
        <f t="shared" si="8"/>
        <v>T</v>
      </c>
      <c r="W28" s="133" t="str">
        <f t="shared" si="8"/>
        <v>F</v>
      </c>
      <c r="X28" s="133" t="str">
        <f t="shared" si="8"/>
        <v>S</v>
      </c>
      <c r="Y28" s="134" t="str">
        <f t="shared" si="8"/>
        <v>S</v>
      </c>
      <c r="Z28" s="135" t="str">
        <f t="shared" si="8"/>
        <v>M</v>
      </c>
      <c r="AA28" s="136" t="str">
        <f t="shared" si="8"/>
        <v>T</v>
      </c>
      <c r="AB28" s="136" t="str">
        <f t="shared" si="8"/>
        <v>W</v>
      </c>
      <c r="AC28" s="136" t="str">
        <f t="shared" si="8"/>
        <v>T</v>
      </c>
      <c r="AD28" s="136" t="str">
        <f t="shared" si="8"/>
        <v>F</v>
      </c>
      <c r="AE28" s="136" t="str">
        <f t="shared" si="8"/>
        <v>S</v>
      </c>
      <c r="AF28" s="137" t="str">
        <f t="shared" si="8"/>
        <v>S</v>
      </c>
      <c r="AG28" s="138" t="str">
        <f t="shared" si="8"/>
        <v>M</v>
      </c>
      <c r="AH28" s="139" t="str">
        <f t="shared" si="8"/>
        <v>T</v>
      </c>
      <c r="AI28" s="139" t="str">
        <f t="shared" si="8"/>
        <v>W</v>
      </c>
      <c r="AJ28" s="139" t="str">
        <f t="shared" si="8"/>
        <v>T</v>
      </c>
      <c r="AK28" s="139" t="str">
        <f t="shared" si="8"/>
        <v>F</v>
      </c>
      <c r="AL28" s="139" t="str">
        <f t="shared" si="8"/>
        <v>S</v>
      </c>
      <c r="AM28" s="140" t="str">
        <f t="shared" si="8"/>
        <v>S</v>
      </c>
      <c r="AN28" s="141" t="str">
        <f t="shared" ref="AN28:AP28" si="9">IFNA(VLOOKUP(GJ2,$FF$7:$FG$13,2,FALSE),"")</f>
        <v>M</v>
      </c>
      <c r="AO28" s="142" t="str">
        <f t="shared" si="9"/>
        <v>T</v>
      </c>
      <c r="AP28" s="143" t="str">
        <f t="shared" si="9"/>
        <v>W</v>
      </c>
      <c r="AQ28" s="69"/>
      <c r="AW28" s="70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J28" s="51"/>
      <c r="EK28" s="51"/>
      <c r="EL28" s="51"/>
      <c r="EM28" s="51"/>
      <c r="EN28" s="51"/>
      <c r="EO28" s="51"/>
      <c r="EP28" s="51"/>
      <c r="EQ28" s="51"/>
      <c r="ER28" s="51"/>
      <c r="ES28" s="51"/>
      <c r="ET28" s="51"/>
      <c r="EU28" s="51"/>
      <c r="EV28" s="51"/>
      <c r="EW28" s="51"/>
      <c r="EX28" s="51"/>
      <c r="EY28" s="51"/>
      <c r="EZ28" s="51"/>
      <c r="FA28" s="51"/>
      <c r="FB28" s="51"/>
      <c r="FC28" s="51"/>
      <c r="FD28" s="51"/>
      <c r="FE28" s="51"/>
      <c r="FF28" s="105">
        <v>46002.0</v>
      </c>
      <c r="FG28" s="106">
        <v>0.0</v>
      </c>
      <c r="FH28" s="51" t="str">
        <f t="shared" si="2"/>
        <v/>
      </c>
      <c r="FI28" s="51"/>
      <c r="FJ28" s="51"/>
      <c r="FK28" s="66">
        <v>11.0</v>
      </c>
      <c r="FL28" s="51"/>
      <c r="FM28" s="66" t="str">
        <f t="shared" si="3"/>
        <v/>
      </c>
      <c r="FN28" s="66" t="str">
        <f t="shared" si="4"/>
        <v/>
      </c>
      <c r="FO28" s="51" t="str">
        <f t="shared" si="5"/>
        <v/>
      </c>
      <c r="FP28" s="51"/>
      <c r="FQ28" s="104"/>
      <c r="FR28" s="104"/>
      <c r="FS28" s="66">
        <v>11.0</v>
      </c>
      <c r="FT28" s="66" t="str">
        <f t="shared" si="6"/>
        <v/>
      </c>
      <c r="FU28" s="66">
        <f t="shared" si="7"/>
        <v>0</v>
      </c>
      <c r="FV28" s="51"/>
      <c r="FW28" s="51"/>
      <c r="FX28" s="51"/>
      <c r="FY28" s="51"/>
      <c r="FZ28" s="51"/>
      <c r="GA28" s="51"/>
      <c r="GB28" s="104"/>
      <c r="GC28" s="51"/>
      <c r="GD28" s="51"/>
      <c r="GE28" s="51"/>
      <c r="GF28" s="51"/>
      <c r="GG28" s="51"/>
      <c r="GH28" s="51"/>
      <c r="GI28" s="51"/>
      <c r="GJ28" s="66" t="s">
        <v>14</v>
      </c>
      <c r="GK28" s="51">
        <f>C71</f>
        <v>0</v>
      </c>
      <c r="GL28" s="51">
        <f>GM28-GK28</f>
        <v>0</v>
      </c>
      <c r="GM28" s="51">
        <f>F71</f>
        <v>0</v>
      </c>
      <c r="GN28" s="68"/>
      <c r="GO28" s="145"/>
      <c r="GP28" s="145"/>
      <c r="GQ28" s="145"/>
      <c r="GR28" s="145"/>
      <c r="GS28" s="145"/>
      <c r="GT28" s="145"/>
      <c r="GU28" s="145"/>
      <c r="GV28" s="145"/>
      <c r="GW28" s="145"/>
      <c r="GX28" s="145"/>
      <c r="GY28" s="145"/>
      <c r="GZ28" s="146"/>
      <c r="HA28" s="146"/>
      <c r="HB28" s="146"/>
      <c r="HC28" s="146"/>
      <c r="HD28" s="146"/>
      <c r="HE28" s="146"/>
      <c r="HF28" s="146"/>
      <c r="HG28" s="146"/>
      <c r="HH28" s="146"/>
    </row>
    <row r="29">
      <c r="A29" s="49"/>
      <c r="B29" s="69"/>
      <c r="K29" s="70"/>
      <c r="L29" s="147">
        <f>EOMONTH(B2,-1)+FH$3</f>
        <v>45992</v>
      </c>
      <c r="M29" s="148">
        <f>EOMONTH(B2,-1)+FI$3</f>
        <v>45993</v>
      </c>
      <c r="N29" s="148">
        <f>EOMONTH(B2,-1)+FJ$3</f>
        <v>45994</v>
      </c>
      <c r="O29" s="148">
        <f>EOMONTH(B2,-1)+FK$3</f>
        <v>45995</v>
      </c>
      <c r="P29" s="148">
        <f>EOMONTH(B2,-1)+FL$3</f>
        <v>45996</v>
      </c>
      <c r="Q29" s="148">
        <f>EOMONTH(B2,-1)+FM$3</f>
        <v>45997</v>
      </c>
      <c r="R29" s="149">
        <f>EOMONTH(B2,-1)+FN$3</f>
        <v>45998</v>
      </c>
      <c r="S29" s="150">
        <f>EOMONTH(B2,-1)+FO$3</f>
        <v>45999</v>
      </c>
      <c r="T29" s="151">
        <f>EOMONTH(B2,-1)+FP$3</f>
        <v>46000</v>
      </c>
      <c r="U29" s="151">
        <f>EOMONTH(B2,-1)+FQ$3</f>
        <v>46001</v>
      </c>
      <c r="V29" s="151">
        <f>EOMONTH(B2,-1)+FR$3</f>
        <v>46002</v>
      </c>
      <c r="W29" s="151">
        <f>EOMONTH(B2,-1)+FS$3</f>
        <v>46003</v>
      </c>
      <c r="X29" s="151">
        <f>EOMONTH(B2,-1)+FT$3</f>
        <v>46004</v>
      </c>
      <c r="Y29" s="152">
        <f>EOMONTH(B2,-1)+FU$3</f>
        <v>46005</v>
      </c>
      <c r="Z29" s="153">
        <f>EOMONTH(B2,-1)+FV$3</f>
        <v>46006</v>
      </c>
      <c r="AA29" s="154">
        <f>EOMONTH(B2,-1)+FW$3</f>
        <v>46007</v>
      </c>
      <c r="AB29" s="154">
        <f>EOMONTH(B2,-1)+FX$3</f>
        <v>46008</v>
      </c>
      <c r="AC29" s="154">
        <f>EOMONTH(B2,-1)+FY$3</f>
        <v>46009</v>
      </c>
      <c r="AD29" s="154">
        <f>EOMONTH(B2,-1)+FZ$3</f>
        <v>46010</v>
      </c>
      <c r="AE29" s="154">
        <f>EOMONTH(B2,-1)+GA$3</f>
        <v>46011</v>
      </c>
      <c r="AF29" s="155">
        <f>EOMONTH(B2,-1)+GB$3</f>
        <v>46012</v>
      </c>
      <c r="AG29" s="156">
        <f>EOMONTH(B2,-1)+GC$3</f>
        <v>46013</v>
      </c>
      <c r="AH29" s="157">
        <f>EOMONTH(B2,-1)+GD$3</f>
        <v>46014</v>
      </c>
      <c r="AI29" s="157">
        <f>EOMONTH(B2,-1)+GE$3</f>
        <v>46015</v>
      </c>
      <c r="AJ29" s="157">
        <f>EOMONTH(B2,-1)+GF$3</f>
        <v>46016</v>
      </c>
      <c r="AK29" s="157">
        <f>EOMONTH(B2,-1)+GG$3</f>
        <v>46017</v>
      </c>
      <c r="AL29" s="157">
        <f>EOMONTH(B2,-1)+GH$3</f>
        <v>46018</v>
      </c>
      <c r="AM29" s="158">
        <f>EOMONTH(B2,-1)+GI$3</f>
        <v>46019</v>
      </c>
      <c r="AN29" s="159">
        <f>IF(GJ3&gt;$FK$7,"",EOMONTH(B2,-1)+GJ$3)</f>
        <v>46020</v>
      </c>
      <c r="AO29" s="160">
        <f>IF(GK3&gt;$FK$7,"",EOMONTH(B2,-1)+GK$3)</f>
        <v>46021</v>
      </c>
      <c r="AP29" s="161">
        <f>IF(GL3&gt;$FK$7,"",EOMONTH(B2,-1)+GL$3)</f>
        <v>46022</v>
      </c>
      <c r="AQ29" s="69"/>
      <c r="AW29" s="70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ED29" s="51"/>
      <c r="EE29" s="51"/>
      <c r="EF29" s="51"/>
      <c r="EG29" s="51"/>
      <c r="EH29" s="51"/>
      <c r="EI29" s="51"/>
      <c r="EJ29" s="51"/>
      <c r="EK29" s="51"/>
      <c r="EL29" s="51"/>
      <c r="EM29" s="51"/>
      <c r="EN29" s="51"/>
      <c r="EO29" s="51"/>
      <c r="EP29" s="51"/>
      <c r="EQ29" s="51"/>
      <c r="ER29" s="51"/>
      <c r="ES29" s="51"/>
      <c r="ET29" s="51"/>
      <c r="EU29" s="51"/>
      <c r="EV29" s="51"/>
      <c r="EW29" s="51"/>
      <c r="EX29" s="51"/>
      <c r="EY29" s="51"/>
      <c r="EZ29" s="51"/>
      <c r="FA29" s="51"/>
      <c r="FB29" s="51"/>
      <c r="FC29" s="51"/>
      <c r="FD29" s="51"/>
      <c r="FE29" s="51"/>
      <c r="FF29" s="105">
        <v>46003.0</v>
      </c>
      <c r="FG29" s="106">
        <v>0.0</v>
      </c>
      <c r="FH29" s="51" t="str">
        <f t="shared" si="2"/>
        <v/>
      </c>
      <c r="FI29" s="51"/>
      <c r="FJ29" s="51"/>
      <c r="FK29" s="66">
        <v>12.0</v>
      </c>
      <c r="FL29" s="51"/>
      <c r="FM29" s="66" t="str">
        <f t="shared" si="3"/>
        <v/>
      </c>
      <c r="FN29" s="66" t="str">
        <f t="shared" si="4"/>
        <v/>
      </c>
      <c r="FO29" s="51" t="str">
        <f t="shared" si="5"/>
        <v/>
      </c>
      <c r="FP29" s="51"/>
      <c r="FQ29" s="104"/>
      <c r="FR29" s="104"/>
      <c r="FS29" s="66">
        <v>12.0</v>
      </c>
      <c r="FT29" s="66" t="str">
        <f t="shared" si="6"/>
        <v/>
      </c>
      <c r="FU29" s="66">
        <f t="shared" si="7"/>
        <v>0</v>
      </c>
      <c r="FV29" s="51"/>
      <c r="FW29" s="51"/>
      <c r="FX29" s="99" t="s">
        <v>48</v>
      </c>
      <c r="FY29" s="99" t="s">
        <v>49</v>
      </c>
      <c r="FZ29" s="99" t="s">
        <v>50</v>
      </c>
      <c r="GA29" s="99" t="s">
        <v>41</v>
      </c>
      <c r="GB29" s="104"/>
      <c r="GC29" s="51"/>
      <c r="GD29" s="51"/>
      <c r="GE29" s="51"/>
      <c r="GF29" s="51"/>
      <c r="GG29" s="51"/>
      <c r="GH29" s="51"/>
      <c r="GI29" s="51"/>
      <c r="GJ29" s="51"/>
      <c r="GK29" s="51"/>
      <c r="GL29" s="51"/>
      <c r="GM29" s="51"/>
      <c r="GN29" s="68"/>
      <c r="GO29" s="145"/>
      <c r="GP29" s="145"/>
      <c r="GQ29" s="145"/>
      <c r="GR29" s="145"/>
      <c r="GS29" s="145"/>
      <c r="GT29" s="145"/>
      <c r="GU29" s="145"/>
      <c r="GV29" s="145"/>
      <c r="GW29" s="145"/>
      <c r="GX29" s="145"/>
      <c r="GY29" s="145"/>
      <c r="GZ29" s="146"/>
      <c r="HA29" s="146"/>
      <c r="HB29" s="146"/>
      <c r="HC29" s="146"/>
      <c r="HD29" s="146"/>
      <c r="HE29" s="146"/>
      <c r="HF29" s="146"/>
      <c r="HG29" s="146"/>
      <c r="HH29" s="146"/>
    </row>
    <row r="30">
      <c r="A30" s="162"/>
      <c r="B30" s="163" t="s">
        <v>55</v>
      </c>
      <c r="C30" s="164"/>
      <c r="D30" s="164"/>
      <c r="E30" s="164"/>
      <c r="F30" s="164"/>
      <c r="G30" s="165" t="s">
        <v>56</v>
      </c>
      <c r="H30" s="164"/>
      <c r="I30" s="164"/>
      <c r="J30" s="165">
        <v>25.0</v>
      </c>
      <c r="K30" s="164"/>
      <c r="L30" s="166" t="b">
        <v>1</v>
      </c>
      <c r="M30" s="166" t="b">
        <v>0</v>
      </c>
      <c r="N30" s="166" t="b">
        <v>0</v>
      </c>
      <c r="O30" s="166" t="b">
        <v>0</v>
      </c>
      <c r="P30" s="166" t="b">
        <v>0</v>
      </c>
      <c r="Q30" s="166" t="b">
        <v>0</v>
      </c>
      <c r="R30" s="166" t="b">
        <v>0</v>
      </c>
      <c r="S30" s="167" t="b">
        <v>0</v>
      </c>
      <c r="T30" s="167" t="b">
        <v>0</v>
      </c>
      <c r="U30" s="167" t="b">
        <v>0</v>
      </c>
      <c r="V30" s="167" t="b">
        <v>0</v>
      </c>
      <c r="W30" s="167" t="b">
        <v>0</v>
      </c>
      <c r="X30" s="167" t="b">
        <v>0</v>
      </c>
      <c r="Y30" s="167" t="b">
        <v>0</v>
      </c>
      <c r="Z30" s="168" t="b">
        <v>0</v>
      </c>
      <c r="AA30" s="168" t="b">
        <v>0</v>
      </c>
      <c r="AB30" s="168" t="b">
        <v>0</v>
      </c>
      <c r="AC30" s="168" t="b">
        <v>0</v>
      </c>
      <c r="AD30" s="168" t="b">
        <v>0</v>
      </c>
      <c r="AE30" s="168" t="b">
        <v>0</v>
      </c>
      <c r="AF30" s="168" t="b">
        <v>0</v>
      </c>
      <c r="AG30" s="169" t="b">
        <v>0</v>
      </c>
      <c r="AH30" s="169" t="b">
        <v>0</v>
      </c>
      <c r="AI30" s="169" t="b">
        <v>0</v>
      </c>
      <c r="AJ30" s="169" t="b">
        <v>0</v>
      </c>
      <c r="AK30" s="169" t="b">
        <v>0</v>
      </c>
      <c r="AL30" s="169" t="b">
        <v>0</v>
      </c>
      <c r="AM30" s="169" t="b">
        <v>0</v>
      </c>
      <c r="AN30" s="170" t="b">
        <v>0</v>
      </c>
      <c r="AO30" s="170" t="b">
        <v>0</v>
      </c>
      <c r="AP30" s="170" t="b">
        <v>0</v>
      </c>
      <c r="AQ30" s="171" t="str">
        <f t="shared" ref="AQ30:AQ49" si="10">IF(ISBLANK(J30),"", COUNTIF(L30:AP30,TRUE)&amp;" / "&amp;J30)</f>
        <v>1 / 25</v>
      </c>
      <c r="AR30" s="164"/>
      <c r="AS30" s="172" t="str">
        <f>IFERROR(__xludf.DUMMYFUNCTION("IFERROR(SPARKLINE(IF(ISBLANK(B30),"""",COUNTIF(L30:AP30,TRUE)),{""charttype"",""bar"";""max"",J30;""color1"",""#b2cdff"";""empty"",""ignore""}),"""")"),"")</f>
        <v/>
      </c>
      <c r="AT30" s="164"/>
      <c r="AU30" s="164"/>
      <c r="AV30" s="173">
        <f t="shared" ref="AV30:AV49" si="11">IF(ISBLANK(J30),"", COUNTIF(L30:AP30,TRUE)/J30)</f>
        <v>0.04</v>
      </c>
      <c r="AW30" s="174"/>
      <c r="AX30" s="49"/>
      <c r="AY30" s="49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1"/>
      <c r="ES30" s="51"/>
      <c r="ET30" s="51"/>
      <c r="EU30" s="51"/>
      <c r="EV30" s="51"/>
      <c r="EW30" s="51"/>
      <c r="EX30" s="51"/>
      <c r="EY30" s="51"/>
      <c r="EZ30" s="51"/>
      <c r="FA30" s="51"/>
      <c r="FB30" s="51"/>
      <c r="FC30" s="51"/>
      <c r="FD30" s="51"/>
      <c r="FE30" s="51"/>
      <c r="FF30" s="105">
        <v>46004.0</v>
      </c>
      <c r="FG30" s="106">
        <v>0.0</v>
      </c>
      <c r="FH30" s="51" t="str">
        <f t="shared" si="2"/>
        <v/>
      </c>
      <c r="FI30" s="51"/>
      <c r="FJ30" s="51"/>
      <c r="FK30" s="66">
        <v>13.0</v>
      </c>
      <c r="FL30" s="51"/>
      <c r="FM30" s="66" t="str">
        <f t="shared" si="3"/>
        <v/>
      </c>
      <c r="FN30" s="66" t="str">
        <f t="shared" si="4"/>
        <v/>
      </c>
      <c r="FO30" s="51" t="str">
        <f t="shared" si="5"/>
        <v/>
      </c>
      <c r="FP30" s="51"/>
      <c r="FQ30" s="104"/>
      <c r="FR30" s="104"/>
      <c r="FS30" s="66">
        <v>13.0</v>
      </c>
      <c r="FT30" s="66" t="str">
        <f t="shared" si="6"/>
        <v/>
      </c>
      <c r="FU30" s="66">
        <f t="shared" si="7"/>
        <v>0</v>
      </c>
      <c r="FV30" s="51"/>
      <c r="FW30" s="51"/>
      <c r="FX30" s="66" t="s">
        <v>15</v>
      </c>
      <c r="FY30" s="51">
        <f>SUM(AN51:AP51)</f>
        <v>0</v>
      </c>
      <c r="FZ30" s="51">
        <f>GA30-FY30</f>
        <v>3</v>
      </c>
      <c r="GA30" s="51">
        <f>COUNTA(B30:F49)*COUNT(AN29:AP29)</f>
        <v>3</v>
      </c>
      <c r="GB30" s="104"/>
      <c r="GC30" s="51"/>
      <c r="GD30" s="51"/>
      <c r="GE30" s="51"/>
      <c r="GF30" s="51"/>
      <c r="GG30" s="51"/>
      <c r="GH30" s="51"/>
      <c r="GI30" s="51"/>
      <c r="GJ30" s="99" t="s">
        <v>48</v>
      </c>
      <c r="GK30" s="99" t="s">
        <v>49</v>
      </c>
      <c r="GL30" s="99" t="s">
        <v>50</v>
      </c>
      <c r="GM30" s="99" t="s">
        <v>41</v>
      </c>
      <c r="GN30" s="68"/>
      <c r="GO30" s="51"/>
      <c r="GP30" s="51"/>
      <c r="GQ30" s="51"/>
      <c r="GR30" s="51"/>
      <c r="GS30" s="51"/>
      <c r="GT30" s="51"/>
      <c r="GU30" s="51"/>
      <c r="GV30" s="51"/>
      <c r="GW30" s="51"/>
      <c r="GX30" s="51"/>
      <c r="GY30" s="51"/>
      <c r="GZ30" s="52"/>
      <c r="HA30" s="52"/>
      <c r="HB30" s="52"/>
      <c r="HC30" s="52"/>
      <c r="HD30" s="52"/>
      <c r="HE30" s="52"/>
      <c r="HF30" s="52"/>
      <c r="HG30" s="52"/>
      <c r="HH30" s="52"/>
    </row>
    <row r="31">
      <c r="A31" s="162"/>
      <c r="B31" s="163"/>
      <c r="C31" s="164"/>
      <c r="D31" s="164"/>
      <c r="E31" s="164"/>
      <c r="F31" s="164"/>
      <c r="G31" s="165"/>
      <c r="H31" s="164"/>
      <c r="I31" s="164"/>
      <c r="J31" s="165"/>
      <c r="K31" s="164"/>
      <c r="L31" s="166" t="b">
        <v>0</v>
      </c>
      <c r="M31" s="166" t="b">
        <v>0</v>
      </c>
      <c r="N31" s="166" t="b">
        <v>0</v>
      </c>
      <c r="O31" s="166" t="b">
        <v>0</v>
      </c>
      <c r="P31" s="166" t="b">
        <v>0</v>
      </c>
      <c r="Q31" s="166" t="b">
        <v>0</v>
      </c>
      <c r="R31" s="166" t="b">
        <v>0</v>
      </c>
      <c r="S31" s="167" t="b">
        <v>0</v>
      </c>
      <c r="T31" s="167" t="b">
        <v>0</v>
      </c>
      <c r="U31" s="167" t="b">
        <v>0</v>
      </c>
      <c r="V31" s="167" t="b">
        <v>0</v>
      </c>
      <c r="W31" s="167" t="b">
        <v>0</v>
      </c>
      <c r="X31" s="167" t="b">
        <v>0</v>
      </c>
      <c r="Y31" s="167" t="b">
        <v>0</v>
      </c>
      <c r="Z31" s="168" t="b">
        <v>0</v>
      </c>
      <c r="AA31" s="168" t="b">
        <v>0</v>
      </c>
      <c r="AB31" s="168" t="b">
        <v>0</v>
      </c>
      <c r="AC31" s="168" t="b">
        <v>0</v>
      </c>
      <c r="AD31" s="168" t="b">
        <v>0</v>
      </c>
      <c r="AE31" s="168" t="b">
        <v>0</v>
      </c>
      <c r="AF31" s="168" t="b">
        <v>0</v>
      </c>
      <c r="AG31" s="169" t="b">
        <v>0</v>
      </c>
      <c r="AH31" s="169" t="b">
        <v>0</v>
      </c>
      <c r="AI31" s="169" t="b">
        <v>0</v>
      </c>
      <c r="AJ31" s="169" t="b">
        <v>0</v>
      </c>
      <c r="AK31" s="169" t="b">
        <v>0</v>
      </c>
      <c r="AL31" s="169" t="b">
        <v>0</v>
      </c>
      <c r="AM31" s="169" t="b">
        <v>0</v>
      </c>
      <c r="AN31" s="170" t="b">
        <v>0</v>
      </c>
      <c r="AO31" s="170" t="b">
        <v>0</v>
      </c>
      <c r="AP31" s="170" t="b">
        <v>0</v>
      </c>
      <c r="AQ31" s="171" t="str">
        <f t="shared" si="10"/>
        <v/>
      </c>
      <c r="AR31" s="164"/>
      <c r="AS31" s="172" t="str">
        <f>IFERROR(__xludf.DUMMYFUNCTION("IFERROR(SPARKLINE(IF(ISBLANK(B31),"""",COUNTIF(L31:AP31,TRUE)),{""charttype"",""bar"";""max"",J31;""color1"",""#b2cdff"";""empty"",""ignore""}),"""")"),"")</f>
        <v/>
      </c>
      <c r="AT31" s="164"/>
      <c r="AU31" s="164"/>
      <c r="AV31" s="173" t="str">
        <f t="shared" si="11"/>
        <v/>
      </c>
      <c r="AW31" s="174"/>
      <c r="AX31" s="49"/>
      <c r="AY31" s="49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ED31" s="51"/>
      <c r="EE31" s="51"/>
      <c r="EF31" s="51"/>
      <c r="EG31" s="51"/>
      <c r="EH31" s="51"/>
      <c r="EI31" s="51"/>
      <c r="EJ31" s="51"/>
      <c r="EK31" s="51"/>
      <c r="EL31" s="51"/>
      <c r="EM31" s="51"/>
      <c r="EN31" s="51"/>
      <c r="EO31" s="51"/>
      <c r="EP31" s="51"/>
      <c r="EQ31" s="51"/>
      <c r="ER31" s="51"/>
      <c r="ES31" s="51"/>
      <c r="ET31" s="51"/>
      <c r="EU31" s="51"/>
      <c r="EV31" s="51"/>
      <c r="EW31" s="51"/>
      <c r="EX31" s="51"/>
      <c r="EY31" s="51"/>
      <c r="EZ31" s="51"/>
      <c r="FA31" s="51"/>
      <c r="FB31" s="51"/>
      <c r="FC31" s="51"/>
      <c r="FD31" s="51"/>
      <c r="FE31" s="51"/>
      <c r="FF31" s="105">
        <v>46005.0</v>
      </c>
      <c r="FG31" s="106">
        <v>0.0</v>
      </c>
      <c r="FH31" s="51" t="str">
        <f t="shared" si="2"/>
        <v/>
      </c>
      <c r="FI31" s="51"/>
      <c r="FJ31" s="51"/>
      <c r="FK31" s="66">
        <v>14.0</v>
      </c>
      <c r="FL31" s="51"/>
      <c r="FM31" s="66" t="str">
        <f t="shared" si="3"/>
        <v/>
      </c>
      <c r="FN31" s="66" t="str">
        <f t="shared" si="4"/>
        <v/>
      </c>
      <c r="FO31" s="51" t="str">
        <f t="shared" si="5"/>
        <v/>
      </c>
      <c r="FP31" s="51"/>
      <c r="FQ31" s="104"/>
      <c r="FR31" s="104"/>
      <c r="FS31" s="66">
        <v>14.0</v>
      </c>
      <c r="FT31" s="66" t="str">
        <f t="shared" si="6"/>
        <v/>
      </c>
      <c r="FU31" s="66">
        <f t="shared" si="7"/>
        <v>0</v>
      </c>
      <c r="FV31" s="51"/>
      <c r="FW31" s="51"/>
      <c r="FX31" s="104"/>
      <c r="FY31" s="104"/>
      <c r="FZ31" s="104"/>
      <c r="GA31" s="104"/>
      <c r="GB31" s="104"/>
      <c r="GC31" s="104"/>
      <c r="GD31" s="51"/>
      <c r="GE31" s="51"/>
      <c r="GF31" s="51"/>
      <c r="GG31" s="51"/>
      <c r="GH31" s="51"/>
      <c r="GI31" s="51"/>
      <c r="GJ31" s="66" t="s">
        <v>15</v>
      </c>
      <c r="GK31" s="51">
        <f>C75</f>
        <v>0</v>
      </c>
      <c r="GL31" s="51">
        <f>GM31-GK31</f>
        <v>0</v>
      </c>
      <c r="GM31" s="51">
        <f>F75</f>
        <v>0</v>
      </c>
      <c r="GN31" s="68"/>
      <c r="GO31" s="51"/>
      <c r="GP31" s="51"/>
      <c r="GQ31" s="51"/>
      <c r="GR31" s="51"/>
      <c r="GS31" s="51"/>
      <c r="GT31" s="51"/>
      <c r="GU31" s="51"/>
      <c r="GV31" s="51"/>
      <c r="GW31" s="51"/>
      <c r="GX31" s="51"/>
      <c r="GY31" s="51"/>
      <c r="GZ31" s="52"/>
      <c r="HA31" s="52"/>
      <c r="HB31" s="52"/>
      <c r="HC31" s="52"/>
      <c r="HD31" s="52"/>
      <c r="HE31" s="52"/>
      <c r="HF31" s="52"/>
      <c r="HG31" s="52"/>
      <c r="HH31" s="52"/>
    </row>
    <row r="32">
      <c r="A32" s="162"/>
      <c r="B32" s="163"/>
      <c r="C32" s="164"/>
      <c r="D32" s="164"/>
      <c r="E32" s="164"/>
      <c r="F32" s="164"/>
      <c r="G32" s="165"/>
      <c r="H32" s="164"/>
      <c r="I32" s="164"/>
      <c r="J32" s="165"/>
      <c r="K32" s="164"/>
      <c r="L32" s="166" t="b">
        <v>0</v>
      </c>
      <c r="M32" s="166" t="b">
        <v>0</v>
      </c>
      <c r="N32" s="166" t="b">
        <v>0</v>
      </c>
      <c r="O32" s="166" t="b">
        <v>0</v>
      </c>
      <c r="P32" s="166" t="b">
        <v>0</v>
      </c>
      <c r="Q32" s="166" t="b">
        <v>0</v>
      </c>
      <c r="R32" s="166" t="b">
        <v>0</v>
      </c>
      <c r="S32" s="167" t="b">
        <v>0</v>
      </c>
      <c r="T32" s="167" t="b">
        <v>0</v>
      </c>
      <c r="U32" s="167" t="b">
        <v>0</v>
      </c>
      <c r="V32" s="167" t="b">
        <v>0</v>
      </c>
      <c r="W32" s="167" t="b">
        <v>0</v>
      </c>
      <c r="X32" s="167" t="b">
        <v>0</v>
      </c>
      <c r="Y32" s="167" t="b">
        <v>0</v>
      </c>
      <c r="Z32" s="168" t="b">
        <v>0</v>
      </c>
      <c r="AA32" s="168" t="b">
        <v>0</v>
      </c>
      <c r="AB32" s="168" t="b">
        <v>0</v>
      </c>
      <c r="AC32" s="168" t="b">
        <v>0</v>
      </c>
      <c r="AD32" s="168" t="b">
        <v>0</v>
      </c>
      <c r="AE32" s="168" t="b">
        <v>0</v>
      </c>
      <c r="AF32" s="168" t="b">
        <v>0</v>
      </c>
      <c r="AG32" s="169" t="b">
        <v>0</v>
      </c>
      <c r="AH32" s="169" t="b">
        <v>0</v>
      </c>
      <c r="AI32" s="169" t="b">
        <v>0</v>
      </c>
      <c r="AJ32" s="169" t="b">
        <v>0</v>
      </c>
      <c r="AK32" s="169" t="b">
        <v>0</v>
      </c>
      <c r="AL32" s="169" t="b">
        <v>0</v>
      </c>
      <c r="AM32" s="169" t="b">
        <v>0</v>
      </c>
      <c r="AN32" s="170" t="b">
        <v>0</v>
      </c>
      <c r="AO32" s="170" t="b">
        <v>0</v>
      </c>
      <c r="AP32" s="170" t="b">
        <v>0</v>
      </c>
      <c r="AQ32" s="171" t="str">
        <f t="shared" si="10"/>
        <v/>
      </c>
      <c r="AR32" s="164"/>
      <c r="AS32" s="172" t="str">
        <f>IFERROR(__xludf.DUMMYFUNCTION("IFERROR(SPARKLINE(IF(ISBLANK(B32),"""",COUNTIF(L32:AP32,TRUE)),{""charttype"",""bar"";""max"",J32;""color1"",""#b2cdff"";""empty"",""ignore""}),"""")"),"")</f>
        <v/>
      </c>
      <c r="AT32" s="164"/>
      <c r="AU32" s="164"/>
      <c r="AV32" s="173" t="str">
        <f t="shared" si="11"/>
        <v/>
      </c>
      <c r="AW32" s="174"/>
      <c r="AX32" s="49"/>
      <c r="AY32" s="49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ED32" s="51"/>
      <c r="EE32" s="51"/>
      <c r="EF32" s="51"/>
      <c r="EG32" s="51"/>
      <c r="EH32" s="51"/>
      <c r="EI32" s="51"/>
      <c r="EJ32" s="51"/>
      <c r="EK32" s="51"/>
      <c r="EL32" s="51"/>
      <c r="EM32" s="51"/>
      <c r="EN32" s="51"/>
      <c r="EO32" s="51"/>
      <c r="EP32" s="51"/>
      <c r="EQ32" s="51"/>
      <c r="ER32" s="51"/>
      <c r="ES32" s="51"/>
      <c r="ET32" s="51"/>
      <c r="EU32" s="51"/>
      <c r="EV32" s="51"/>
      <c r="EW32" s="51"/>
      <c r="EX32" s="51"/>
      <c r="EY32" s="51"/>
      <c r="EZ32" s="51"/>
      <c r="FA32" s="51"/>
      <c r="FB32" s="51"/>
      <c r="FC32" s="51"/>
      <c r="FD32" s="51"/>
      <c r="FE32" s="51"/>
      <c r="FF32" s="105">
        <v>46006.0</v>
      </c>
      <c r="FG32" s="106">
        <v>0.0</v>
      </c>
      <c r="FH32" s="51" t="str">
        <f t="shared" si="2"/>
        <v/>
      </c>
      <c r="FI32" s="51"/>
      <c r="FJ32" s="51"/>
      <c r="FK32" s="66">
        <v>15.0</v>
      </c>
      <c r="FL32" s="51"/>
      <c r="FM32" s="66" t="str">
        <f t="shared" si="3"/>
        <v/>
      </c>
      <c r="FN32" s="66" t="str">
        <f t="shared" si="4"/>
        <v/>
      </c>
      <c r="FO32" s="51" t="str">
        <f t="shared" si="5"/>
        <v/>
      </c>
      <c r="FP32" s="51"/>
      <c r="FQ32" s="104"/>
      <c r="FR32" s="104"/>
      <c r="FS32" s="66">
        <v>15.0</v>
      </c>
      <c r="FT32" s="66" t="str">
        <f t="shared" si="6"/>
        <v/>
      </c>
      <c r="FU32" s="66">
        <f t="shared" si="7"/>
        <v>0</v>
      </c>
      <c r="FV32" s="51"/>
      <c r="FW32" s="51"/>
      <c r="FX32" s="99" t="s">
        <v>48</v>
      </c>
      <c r="FY32" s="99" t="s">
        <v>49</v>
      </c>
      <c r="FZ32" s="99" t="s">
        <v>50</v>
      </c>
      <c r="GA32" s="99" t="s">
        <v>41</v>
      </c>
      <c r="GB32" s="104"/>
      <c r="GC32" s="104"/>
      <c r="GD32" s="51"/>
      <c r="GE32" s="51"/>
      <c r="GF32" s="51"/>
      <c r="GG32" s="51"/>
      <c r="GH32" s="51"/>
      <c r="GI32" s="51"/>
      <c r="GJ32" s="104"/>
      <c r="GK32" s="104"/>
      <c r="GL32" s="104"/>
      <c r="GM32" s="104"/>
      <c r="GN32" s="68"/>
      <c r="GO32" s="51"/>
      <c r="GP32" s="51"/>
      <c r="GQ32" s="51"/>
      <c r="GR32" s="51"/>
      <c r="GS32" s="51"/>
      <c r="GT32" s="51"/>
      <c r="GU32" s="51"/>
      <c r="GV32" s="51"/>
      <c r="GW32" s="51"/>
      <c r="GX32" s="51"/>
      <c r="GY32" s="51"/>
      <c r="GZ32" s="52"/>
      <c r="HA32" s="52"/>
      <c r="HB32" s="52"/>
      <c r="HC32" s="52"/>
      <c r="HD32" s="52"/>
      <c r="HE32" s="52"/>
      <c r="HF32" s="52"/>
      <c r="HG32" s="52"/>
      <c r="HH32" s="52"/>
    </row>
    <row r="33">
      <c r="A33" s="162"/>
      <c r="B33" s="163"/>
      <c r="C33" s="164"/>
      <c r="D33" s="164"/>
      <c r="E33" s="164"/>
      <c r="F33" s="164"/>
      <c r="G33" s="165"/>
      <c r="H33" s="164"/>
      <c r="I33" s="164"/>
      <c r="J33" s="165"/>
      <c r="K33" s="164"/>
      <c r="L33" s="166" t="b">
        <v>0</v>
      </c>
      <c r="M33" s="166" t="b">
        <v>0</v>
      </c>
      <c r="N33" s="166" t="b">
        <v>0</v>
      </c>
      <c r="O33" s="166" t="b">
        <v>0</v>
      </c>
      <c r="P33" s="166" t="b">
        <v>0</v>
      </c>
      <c r="Q33" s="166" t="b">
        <v>0</v>
      </c>
      <c r="R33" s="166" t="b">
        <v>0</v>
      </c>
      <c r="S33" s="167" t="b">
        <v>0</v>
      </c>
      <c r="T33" s="167" t="b">
        <v>0</v>
      </c>
      <c r="U33" s="167" t="b">
        <v>0</v>
      </c>
      <c r="V33" s="167" t="b">
        <v>0</v>
      </c>
      <c r="W33" s="167" t="b">
        <v>0</v>
      </c>
      <c r="X33" s="167" t="b">
        <v>0</v>
      </c>
      <c r="Y33" s="167" t="b">
        <v>0</v>
      </c>
      <c r="Z33" s="168" t="b">
        <v>0</v>
      </c>
      <c r="AA33" s="168" t="b">
        <v>0</v>
      </c>
      <c r="AB33" s="168" t="b">
        <v>0</v>
      </c>
      <c r="AC33" s="168" t="b">
        <v>0</v>
      </c>
      <c r="AD33" s="168" t="b">
        <v>0</v>
      </c>
      <c r="AE33" s="168" t="b">
        <v>0</v>
      </c>
      <c r="AF33" s="168" t="b">
        <v>0</v>
      </c>
      <c r="AG33" s="169" t="b">
        <v>0</v>
      </c>
      <c r="AH33" s="169" t="b">
        <v>0</v>
      </c>
      <c r="AI33" s="169" t="b">
        <v>0</v>
      </c>
      <c r="AJ33" s="169" t="b">
        <v>0</v>
      </c>
      <c r="AK33" s="169" t="b">
        <v>0</v>
      </c>
      <c r="AL33" s="169" t="b">
        <v>0</v>
      </c>
      <c r="AM33" s="169" t="b">
        <v>0</v>
      </c>
      <c r="AN33" s="170" t="b">
        <v>0</v>
      </c>
      <c r="AO33" s="170" t="b">
        <v>0</v>
      </c>
      <c r="AP33" s="170" t="b">
        <v>0</v>
      </c>
      <c r="AQ33" s="171" t="str">
        <f t="shared" si="10"/>
        <v/>
      </c>
      <c r="AR33" s="164"/>
      <c r="AS33" s="172" t="str">
        <f>IFERROR(__xludf.DUMMYFUNCTION("IFERROR(SPARKLINE(IF(ISBLANK(B33),"""",COUNTIF(L33:AP33,TRUE)),{""charttype"",""bar"";""max"",J33;""color1"",""#b2cdff"";""empty"",""ignore""}),"""")"),"")</f>
        <v/>
      </c>
      <c r="AT33" s="164"/>
      <c r="AU33" s="164"/>
      <c r="AV33" s="173" t="str">
        <f t="shared" si="11"/>
        <v/>
      </c>
      <c r="AW33" s="174"/>
      <c r="AX33" s="49"/>
      <c r="AY33" s="49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ED33" s="51"/>
      <c r="EE33" s="51"/>
      <c r="EF33" s="51"/>
      <c r="EG33" s="51"/>
      <c r="EH33" s="51"/>
      <c r="EI33" s="51"/>
      <c r="EJ33" s="51"/>
      <c r="EK33" s="51"/>
      <c r="EL33" s="51"/>
      <c r="EM33" s="51"/>
      <c r="EN33" s="51"/>
      <c r="EO33" s="51"/>
      <c r="EP33" s="51"/>
      <c r="EQ33" s="51"/>
      <c r="ER33" s="51"/>
      <c r="ES33" s="51"/>
      <c r="ET33" s="51"/>
      <c r="EU33" s="51"/>
      <c r="EV33" s="51"/>
      <c r="EW33" s="51"/>
      <c r="EX33" s="51"/>
      <c r="EY33" s="51"/>
      <c r="EZ33" s="51"/>
      <c r="FA33" s="51"/>
      <c r="FB33" s="51"/>
      <c r="FC33" s="51"/>
      <c r="FD33" s="51"/>
      <c r="FE33" s="51"/>
      <c r="FF33" s="105">
        <v>46007.0</v>
      </c>
      <c r="FG33" s="106">
        <v>0.0</v>
      </c>
      <c r="FH33" s="51" t="str">
        <f t="shared" si="2"/>
        <v/>
      </c>
      <c r="FI33" s="51"/>
      <c r="FJ33" s="51"/>
      <c r="FK33" s="66">
        <v>16.0</v>
      </c>
      <c r="FL33" s="51"/>
      <c r="FM33" s="66" t="str">
        <f t="shared" si="3"/>
        <v/>
      </c>
      <c r="FN33" s="66" t="str">
        <f t="shared" si="4"/>
        <v/>
      </c>
      <c r="FO33" s="51" t="str">
        <f t="shared" si="5"/>
        <v/>
      </c>
      <c r="FP33" s="51"/>
      <c r="FQ33" s="104"/>
      <c r="FR33" s="104"/>
      <c r="FS33" s="66">
        <v>16.0</v>
      </c>
      <c r="FT33" s="66" t="str">
        <f t="shared" si="6"/>
        <v/>
      </c>
      <c r="FU33" s="66">
        <f t="shared" si="7"/>
        <v>0</v>
      </c>
      <c r="FV33" s="51"/>
      <c r="FW33" s="51"/>
      <c r="FX33" s="66" t="s">
        <v>57</v>
      </c>
      <c r="FY33" s="51">
        <f>SUM(L51:AP51)</f>
        <v>1</v>
      </c>
      <c r="FZ33" s="51">
        <f>GA33-FY33</f>
        <v>24</v>
      </c>
      <c r="GA33" s="51">
        <f>SUM(J30:K49)</f>
        <v>25</v>
      </c>
      <c r="GB33" s="51"/>
      <c r="GC33" s="51"/>
      <c r="GD33" s="51"/>
      <c r="GE33" s="51"/>
      <c r="GF33" s="51"/>
      <c r="GG33" s="51"/>
      <c r="GH33" s="51"/>
      <c r="GI33" s="51"/>
      <c r="GJ33" s="99" t="s">
        <v>48</v>
      </c>
      <c r="GK33" s="99" t="s">
        <v>49</v>
      </c>
      <c r="GL33" s="99" t="s">
        <v>50</v>
      </c>
      <c r="GM33" s="99" t="s">
        <v>41</v>
      </c>
      <c r="GN33" s="68"/>
      <c r="GO33" s="51"/>
      <c r="GP33" s="51"/>
      <c r="GQ33" s="51"/>
      <c r="GR33" s="51"/>
      <c r="GS33" s="51"/>
      <c r="GT33" s="51"/>
      <c r="GU33" s="51"/>
      <c r="GV33" s="51"/>
      <c r="GW33" s="51"/>
      <c r="GX33" s="51"/>
      <c r="GY33" s="51"/>
      <c r="GZ33" s="52"/>
      <c r="HA33" s="52"/>
      <c r="HB33" s="52"/>
      <c r="HC33" s="52"/>
      <c r="HD33" s="52"/>
      <c r="HE33" s="52"/>
      <c r="HF33" s="52"/>
      <c r="HG33" s="52"/>
      <c r="HH33" s="52"/>
    </row>
    <row r="34">
      <c r="A34" s="162"/>
      <c r="B34" s="163"/>
      <c r="C34" s="164"/>
      <c r="D34" s="164"/>
      <c r="E34" s="164"/>
      <c r="F34" s="164"/>
      <c r="G34" s="165"/>
      <c r="H34" s="164"/>
      <c r="I34" s="164"/>
      <c r="J34" s="165"/>
      <c r="K34" s="164"/>
      <c r="L34" s="166" t="b">
        <v>0</v>
      </c>
      <c r="M34" s="166" t="b">
        <v>0</v>
      </c>
      <c r="N34" s="166" t="b">
        <v>0</v>
      </c>
      <c r="O34" s="166" t="b">
        <v>0</v>
      </c>
      <c r="P34" s="166" t="b">
        <v>0</v>
      </c>
      <c r="Q34" s="166" t="b">
        <v>0</v>
      </c>
      <c r="R34" s="166" t="b">
        <v>0</v>
      </c>
      <c r="S34" s="167" t="b">
        <v>0</v>
      </c>
      <c r="T34" s="167" t="b">
        <v>0</v>
      </c>
      <c r="U34" s="167" t="b">
        <v>0</v>
      </c>
      <c r="V34" s="167" t="b">
        <v>0</v>
      </c>
      <c r="W34" s="167" t="b">
        <v>0</v>
      </c>
      <c r="X34" s="167" t="b">
        <v>0</v>
      </c>
      <c r="Y34" s="167" t="b">
        <v>0</v>
      </c>
      <c r="Z34" s="168" t="b">
        <v>0</v>
      </c>
      <c r="AA34" s="168" t="b">
        <v>0</v>
      </c>
      <c r="AB34" s="168" t="b">
        <v>0</v>
      </c>
      <c r="AC34" s="168" t="b">
        <v>0</v>
      </c>
      <c r="AD34" s="168" t="b">
        <v>0</v>
      </c>
      <c r="AE34" s="168" t="b">
        <v>0</v>
      </c>
      <c r="AF34" s="168" t="b">
        <v>0</v>
      </c>
      <c r="AG34" s="169" t="b">
        <v>0</v>
      </c>
      <c r="AH34" s="169" t="b">
        <v>0</v>
      </c>
      <c r="AI34" s="169" t="b">
        <v>0</v>
      </c>
      <c r="AJ34" s="169" t="b">
        <v>0</v>
      </c>
      <c r="AK34" s="169" t="b">
        <v>0</v>
      </c>
      <c r="AL34" s="169" t="b">
        <v>0</v>
      </c>
      <c r="AM34" s="169" t="b">
        <v>0</v>
      </c>
      <c r="AN34" s="170" t="b">
        <v>0</v>
      </c>
      <c r="AO34" s="170" t="b">
        <v>0</v>
      </c>
      <c r="AP34" s="170" t="b">
        <v>0</v>
      </c>
      <c r="AQ34" s="171" t="str">
        <f t="shared" si="10"/>
        <v/>
      </c>
      <c r="AR34" s="164"/>
      <c r="AS34" s="172" t="str">
        <f>IFERROR(__xludf.DUMMYFUNCTION("IFERROR(SPARKLINE(IF(ISBLANK(B34),"""",COUNTIF(L34:AP34,TRUE)),{""charttype"",""bar"";""max"",J34;""color1"",""#b2cdff"";""empty"",""ignore""}),"""")"),"")</f>
        <v/>
      </c>
      <c r="AT34" s="164"/>
      <c r="AU34" s="164"/>
      <c r="AV34" s="173" t="str">
        <f t="shared" si="11"/>
        <v/>
      </c>
      <c r="AW34" s="174"/>
      <c r="AX34" s="49"/>
      <c r="AY34" s="49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ED34" s="51"/>
      <c r="EE34" s="51"/>
      <c r="EF34" s="51"/>
      <c r="EG34" s="51"/>
      <c r="EH34" s="51"/>
      <c r="EI34" s="51"/>
      <c r="EJ34" s="51"/>
      <c r="EK34" s="51"/>
      <c r="EL34" s="51"/>
      <c r="EM34" s="51"/>
      <c r="EN34" s="51"/>
      <c r="EO34" s="51"/>
      <c r="EP34" s="51"/>
      <c r="EQ34" s="51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105">
        <v>46008.0</v>
      </c>
      <c r="FG34" s="106">
        <v>0.0</v>
      </c>
      <c r="FH34" s="51" t="str">
        <f t="shared" si="2"/>
        <v/>
      </c>
      <c r="FI34" s="51"/>
      <c r="FJ34" s="51"/>
      <c r="FK34" s="66">
        <v>17.0</v>
      </c>
      <c r="FL34" s="51"/>
      <c r="FM34" s="66" t="str">
        <f t="shared" si="3"/>
        <v/>
      </c>
      <c r="FN34" s="66" t="str">
        <f t="shared" si="4"/>
        <v/>
      </c>
      <c r="FO34" s="51" t="str">
        <f t="shared" si="5"/>
        <v/>
      </c>
      <c r="FP34" s="51"/>
      <c r="FQ34" s="104"/>
      <c r="FR34" s="104"/>
      <c r="FS34" s="66">
        <v>17.0</v>
      </c>
      <c r="FT34" s="66" t="str">
        <f t="shared" si="6"/>
        <v/>
      </c>
      <c r="FU34" s="66">
        <f t="shared" si="7"/>
        <v>0</v>
      </c>
      <c r="FV34" s="51"/>
      <c r="FW34" s="51"/>
      <c r="FX34" s="51"/>
      <c r="FY34" s="51"/>
      <c r="FZ34" s="51"/>
      <c r="GA34" s="51"/>
      <c r="GB34" s="51"/>
      <c r="GC34" s="51"/>
      <c r="GD34" s="51"/>
      <c r="GE34" s="51"/>
      <c r="GF34" s="51"/>
      <c r="GG34" s="51"/>
      <c r="GH34" s="51"/>
      <c r="GI34" s="51"/>
      <c r="GJ34" s="66" t="s">
        <v>58</v>
      </c>
      <c r="GK34" s="51">
        <f>AU60</f>
        <v>0</v>
      </c>
      <c r="GL34" s="51">
        <f>GM34-GK34</f>
        <v>0</v>
      </c>
      <c r="GM34" s="51">
        <f>AU66</f>
        <v>0</v>
      </c>
      <c r="GN34" s="68"/>
      <c r="GO34" s="51"/>
      <c r="GP34" s="51"/>
      <c r="GQ34" s="51"/>
      <c r="GR34" s="51"/>
      <c r="GS34" s="51"/>
      <c r="GT34" s="51"/>
      <c r="GU34" s="51"/>
      <c r="GV34" s="51"/>
      <c r="GW34" s="51"/>
      <c r="GX34" s="51"/>
      <c r="GY34" s="51"/>
      <c r="GZ34" s="52"/>
      <c r="HA34" s="52"/>
      <c r="HB34" s="52"/>
      <c r="HC34" s="52"/>
      <c r="HD34" s="52"/>
      <c r="HE34" s="52"/>
      <c r="HF34" s="52"/>
      <c r="HG34" s="52"/>
      <c r="HH34" s="52"/>
    </row>
    <row r="35">
      <c r="A35" s="162"/>
      <c r="B35" s="163"/>
      <c r="C35" s="164"/>
      <c r="D35" s="164"/>
      <c r="E35" s="164"/>
      <c r="F35" s="164"/>
      <c r="G35" s="165"/>
      <c r="H35" s="164"/>
      <c r="I35" s="164"/>
      <c r="J35" s="165"/>
      <c r="K35" s="164"/>
      <c r="L35" s="166" t="b">
        <v>0</v>
      </c>
      <c r="M35" s="166" t="b">
        <v>0</v>
      </c>
      <c r="N35" s="166" t="b">
        <v>0</v>
      </c>
      <c r="O35" s="166" t="b">
        <v>0</v>
      </c>
      <c r="P35" s="166" t="b">
        <v>0</v>
      </c>
      <c r="Q35" s="166" t="b">
        <v>0</v>
      </c>
      <c r="R35" s="166" t="b">
        <v>0</v>
      </c>
      <c r="S35" s="167" t="b">
        <v>0</v>
      </c>
      <c r="T35" s="167" t="b">
        <v>0</v>
      </c>
      <c r="U35" s="167" t="b">
        <v>0</v>
      </c>
      <c r="V35" s="167" t="b">
        <v>0</v>
      </c>
      <c r="W35" s="167" t="b">
        <v>0</v>
      </c>
      <c r="X35" s="167" t="b">
        <v>0</v>
      </c>
      <c r="Y35" s="167" t="b">
        <v>0</v>
      </c>
      <c r="Z35" s="168" t="b">
        <v>0</v>
      </c>
      <c r="AA35" s="168" t="b">
        <v>0</v>
      </c>
      <c r="AB35" s="168" t="b">
        <v>0</v>
      </c>
      <c r="AC35" s="168" t="b">
        <v>0</v>
      </c>
      <c r="AD35" s="168" t="b">
        <v>0</v>
      </c>
      <c r="AE35" s="168" t="b">
        <v>0</v>
      </c>
      <c r="AF35" s="168" t="b">
        <v>0</v>
      </c>
      <c r="AG35" s="169" t="b">
        <v>0</v>
      </c>
      <c r="AH35" s="169" t="b">
        <v>0</v>
      </c>
      <c r="AI35" s="169" t="b">
        <v>0</v>
      </c>
      <c r="AJ35" s="169" t="b">
        <v>0</v>
      </c>
      <c r="AK35" s="169" t="b">
        <v>0</v>
      </c>
      <c r="AL35" s="169" t="b">
        <v>0</v>
      </c>
      <c r="AM35" s="169" t="b">
        <v>0</v>
      </c>
      <c r="AN35" s="170" t="b">
        <v>0</v>
      </c>
      <c r="AO35" s="170" t="b">
        <v>0</v>
      </c>
      <c r="AP35" s="170" t="b">
        <v>0</v>
      </c>
      <c r="AQ35" s="171" t="str">
        <f t="shared" si="10"/>
        <v/>
      </c>
      <c r="AR35" s="164"/>
      <c r="AS35" s="172" t="str">
        <f>IFERROR(__xludf.DUMMYFUNCTION("IFERROR(SPARKLINE(IF(ISBLANK(B35),"""",COUNTIF(L35:AP35,TRUE)),{""charttype"",""bar"";""max"",J35;""color1"",""#b2cdff"";""empty"",""ignore""}),"""")"),"")</f>
        <v/>
      </c>
      <c r="AT35" s="164"/>
      <c r="AU35" s="164"/>
      <c r="AV35" s="173" t="str">
        <f t="shared" si="11"/>
        <v/>
      </c>
      <c r="AW35" s="174"/>
      <c r="AX35" s="49"/>
      <c r="AY35" s="49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ED35" s="51"/>
      <c r="EE35" s="51"/>
      <c r="EF35" s="51"/>
      <c r="EG35" s="51"/>
      <c r="EH35" s="51"/>
      <c r="EI35" s="51"/>
      <c r="EJ35" s="51"/>
      <c r="EK35" s="51"/>
      <c r="EL35" s="51"/>
      <c r="EM35" s="51"/>
      <c r="EN35" s="51"/>
      <c r="EO35" s="51"/>
      <c r="EP35" s="51"/>
      <c r="EQ35" s="51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105">
        <v>46009.0</v>
      </c>
      <c r="FG35" s="106">
        <v>0.0</v>
      </c>
      <c r="FH35" s="51" t="str">
        <f t="shared" si="2"/>
        <v/>
      </c>
      <c r="FI35" s="51"/>
      <c r="FJ35" s="51"/>
      <c r="FK35" s="66">
        <v>18.0</v>
      </c>
      <c r="FL35" s="51"/>
      <c r="FM35" s="66" t="str">
        <f t="shared" si="3"/>
        <v/>
      </c>
      <c r="FN35" s="66" t="str">
        <f t="shared" si="4"/>
        <v/>
      </c>
      <c r="FO35" s="51" t="str">
        <f t="shared" si="5"/>
        <v/>
      </c>
      <c r="FP35" s="51"/>
      <c r="FQ35" s="104"/>
      <c r="FR35" s="104"/>
      <c r="FS35" s="66">
        <v>18.0</v>
      </c>
      <c r="FT35" s="66" t="str">
        <f t="shared" si="6"/>
        <v/>
      </c>
      <c r="FU35" s="66">
        <f t="shared" si="7"/>
        <v>0</v>
      </c>
      <c r="FV35" s="51"/>
      <c r="FW35" s="51"/>
      <c r="FX35" s="51"/>
      <c r="FY35" s="51"/>
      <c r="FZ35" s="51"/>
      <c r="GA35" s="51"/>
      <c r="GB35" s="51"/>
      <c r="GC35" s="51"/>
      <c r="GD35" s="51"/>
      <c r="GE35" s="51"/>
      <c r="GF35" s="51"/>
      <c r="GG35" s="51"/>
      <c r="GH35" s="51"/>
      <c r="GI35" s="51"/>
      <c r="GJ35" s="51"/>
      <c r="GK35" s="51"/>
      <c r="GL35" s="51"/>
      <c r="GM35" s="68"/>
      <c r="GN35" s="68"/>
      <c r="GO35" s="51"/>
      <c r="GP35" s="51"/>
      <c r="GQ35" s="51"/>
      <c r="GR35" s="51"/>
      <c r="GS35" s="51"/>
      <c r="GT35" s="51"/>
      <c r="GU35" s="51"/>
      <c r="GV35" s="51"/>
      <c r="GW35" s="51"/>
      <c r="GX35" s="51"/>
      <c r="GY35" s="51"/>
      <c r="GZ35" s="52"/>
      <c r="HA35" s="52"/>
      <c r="HB35" s="52"/>
      <c r="HC35" s="52"/>
      <c r="HD35" s="52"/>
      <c r="HE35" s="52"/>
      <c r="HF35" s="52"/>
      <c r="HG35" s="52"/>
      <c r="HH35" s="52"/>
    </row>
    <row r="36">
      <c r="A36" s="162"/>
      <c r="B36" s="163"/>
      <c r="C36" s="164"/>
      <c r="D36" s="164"/>
      <c r="E36" s="164"/>
      <c r="F36" s="164"/>
      <c r="G36" s="165"/>
      <c r="H36" s="164"/>
      <c r="I36" s="164"/>
      <c r="J36" s="165"/>
      <c r="K36" s="164"/>
      <c r="L36" s="166" t="b">
        <v>0</v>
      </c>
      <c r="M36" s="166" t="b">
        <v>0</v>
      </c>
      <c r="N36" s="166" t="b">
        <v>0</v>
      </c>
      <c r="O36" s="166" t="b">
        <v>0</v>
      </c>
      <c r="P36" s="166" t="b">
        <v>0</v>
      </c>
      <c r="Q36" s="166" t="b">
        <v>0</v>
      </c>
      <c r="R36" s="166" t="b">
        <v>0</v>
      </c>
      <c r="S36" s="167" t="b">
        <v>0</v>
      </c>
      <c r="T36" s="167" t="b">
        <v>0</v>
      </c>
      <c r="U36" s="167" t="b">
        <v>0</v>
      </c>
      <c r="V36" s="167" t="b">
        <v>0</v>
      </c>
      <c r="W36" s="167" t="b">
        <v>0</v>
      </c>
      <c r="X36" s="167" t="b">
        <v>0</v>
      </c>
      <c r="Y36" s="167" t="b">
        <v>0</v>
      </c>
      <c r="Z36" s="168" t="b">
        <v>0</v>
      </c>
      <c r="AA36" s="168" t="b">
        <v>0</v>
      </c>
      <c r="AB36" s="168" t="b">
        <v>0</v>
      </c>
      <c r="AC36" s="168" t="b">
        <v>0</v>
      </c>
      <c r="AD36" s="168" t="b">
        <v>0</v>
      </c>
      <c r="AE36" s="168" t="b">
        <v>0</v>
      </c>
      <c r="AF36" s="168" t="b">
        <v>0</v>
      </c>
      <c r="AG36" s="169" t="b">
        <v>0</v>
      </c>
      <c r="AH36" s="169" t="b">
        <v>0</v>
      </c>
      <c r="AI36" s="169" t="b">
        <v>0</v>
      </c>
      <c r="AJ36" s="169" t="b">
        <v>0</v>
      </c>
      <c r="AK36" s="169" t="b">
        <v>0</v>
      </c>
      <c r="AL36" s="169" t="b">
        <v>0</v>
      </c>
      <c r="AM36" s="169" t="b">
        <v>0</v>
      </c>
      <c r="AN36" s="170" t="b">
        <v>0</v>
      </c>
      <c r="AO36" s="170" t="b">
        <v>0</v>
      </c>
      <c r="AP36" s="170" t="b">
        <v>0</v>
      </c>
      <c r="AQ36" s="171" t="str">
        <f t="shared" si="10"/>
        <v/>
      </c>
      <c r="AR36" s="164"/>
      <c r="AS36" s="172" t="str">
        <f>IFERROR(__xludf.DUMMYFUNCTION("IFERROR(SPARKLINE(IF(ISBLANK(B36),"""",COUNTIF(L36:AP36,TRUE)),{""charttype"",""bar"";""max"",J36;""color1"",""#b2cdff"";""empty"",""ignore""}),"""")"),"")</f>
        <v/>
      </c>
      <c r="AT36" s="164"/>
      <c r="AU36" s="164"/>
      <c r="AV36" s="173" t="str">
        <f t="shared" si="11"/>
        <v/>
      </c>
      <c r="AW36" s="174"/>
      <c r="AX36" s="49"/>
      <c r="AY36" s="49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ED36" s="51"/>
      <c r="EE36" s="51"/>
      <c r="EF36" s="51"/>
      <c r="EG36" s="51"/>
      <c r="EH36" s="51"/>
      <c r="EI36" s="51"/>
      <c r="EJ36" s="51"/>
      <c r="EK36" s="51"/>
      <c r="EL36" s="51"/>
      <c r="EM36" s="51"/>
      <c r="EN36" s="51"/>
      <c r="EO36" s="51"/>
      <c r="EP36" s="51"/>
      <c r="EQ36" s="51"/>
      <c r="ER36" s="51"/>
      <c r="ES36" s="51"/>
      <c r="ET36" s="51"/>
      <c r="EU36" s="51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105">
        <v>46010.0</v>
      </c>
      <c r="FG36" s="106">
        <v>0.0</v>
      </c>
      <c r="FH36" s="51" t="str">
        <f t="shared" si="2"/>
        <v/>
      </c>
      <c r="FI36" s="51"/>
      <c r="FJ36" s="51"/>
      <c r="FK36" s="66">
        <v>19.0</v>
      </c>
      <c r="FL36" s="51"/>
      <c r="FM36" s="66" t="str">
        <f t="shared" si="3"/>
        <v/>
      </c>
      <c r="FN36" s="66" t="str">
        <f t="shared" si="4"/>
        <v/>
      </c>
      <c r="FO36" s="51" t="str">
        <f t="shared" si="5"/>
        <v/>
      </c>
      <c r="FP36" s="51"/>
      <c r="FQ36" s="104"/>
      <c r="FR36" s="104"/>
      <c r="FS36" s="66">
        <v>19.0</v>
      </c>
      <c r="FT36" s="66" t="str">
        <f t="shared" si="6"/>
        <v/>
      </c>
      <c r="FU36" s="66">
        <f t="shared" si="7"/>
        <v>0</v>
      </c>
      <c r="FV36" s="51"/>
      <c r="FW36" s="51"/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  <c r="GM36" s="68"/>
      <c r="GN36" s="68"/>
      <c r="GO36" s="51"/>
      <c r="GP36" s="51"/>
      <c r="GQ36" s="51"/>
      <c r="GR36" s="51"/>
      <c r="GS36" s="51"/>
      <c r="GT36" s="51"/>
      <c r="GU36" s="51"/>
      <c r="GV36" s="51"/>
      <c r="GW36" s="51"/>
      <c r="GX36" s="51"/>
      <c r="GY36" s="51"/>
      <c r="GZ36" s="52"/>
      <c r="HA36" s="52"/>
      <c r="HB36" s="52"/>
      <c r="HC36" s="52"/>
      <c r="HD36" s="52"/>
      <c r="HE36" s="52"/>
      <c r="HF36" s="52"/>
      <c r="HG36" s="52"/>
      <c r="HH36" s="52"/>
    </row>
    <row r="37">
      <c r="A37" s="162"/>
      <c r="B37" s="163"/>
      <c r="C37" s="164"/>
      <c r="D37" s="164"/>
      <c r="E37" s="164"/>
      <c r="F37" s="164"/>
      <c r="G37" s="165"/>
      <c r="H37" s="164"/>
      <c r="I37" s="164"/>
      <c r="J37" s="165"/>
      <c r="K37" s="164"/>
      <c r="L37" s="166" t="b">
        <v>0</v>
      </c>
      <c r="M37" s="166" t="b">
        <v>0</v>
      </c>
      <c r="N37" s="166" t="b">
        <v>0</v>
      </c>
      <c r="O37" s="166" t="b">
        <v>0</v>
      </c>
      <c r="P37" s="166" t="b">
        <v>0</v>
      </c>
      <c r="Q37" s="166" t="b">
        <v>0</v>
      </c>
      <c r="R37" s="166" t="b">
        <v>0</v>
      </c>
      <c r="S37" s="167" t="b">
        <v>0</v>
      </c>
      <c r="T37" s="167" t="b">
        <v>0</v>
      </c>
      <c r="U37" s="167" t="b">
        <v>0</v>
      </c>
      <c r="V37" s="167" t="b">
        <v>0</v>
      </c>
      <c r="W37" s="167" t="b">
        <v>0</v>
      </c>
      <c r="X37" s="167" t="b">
        <v>0</v>
      </c>
      <c r="Y37" s="167" t="b">
        <v>0</v>
      </c>
      <c r="Z37" s="168" t="b">
        <v>0</v>
      </c>
      <c r="AA37" s="168" t="b">
        <v>0</v>
      </c>
      <c r="AB37" s="168" t="b">
        <v>0</v>
      </c>
      <c r="AC37" s="168" t="b">
        <v>0</v>
      </c>
      <c r="AD37" s="168" t="b">
        <v>0</v>
      </c>
      <c r="AE37" s="168" t="b">
        <v>0</v>
      </c>
      <c r="AF37" s="168" t="b">
        <v>0</v>
      </c>
      <c r="AG37" s="169" t="b">
        <v>0</v>
      </c>
      <c r="AH37" s="169" t="b">
        <v>0</v>
      </c>
      <c r="AI37" s="169" t="b">
        <v>0</v>
      </c>
      <c r="AJ37" s="169" t="b">
        <v>0</v>
      </c>
      <c r="AK37" s="169" t="b">
        <v>0</v>
      </c>
      <c r="AL37" s="169" t="b">
        <v>0</v>
      </c>
      <c r="AM37" s="169" t="b">
        <v>0</v>
      </c>
      <c r="AN37" s="170" t="b">
        <v>0</v>
      </c>
      <c r="AO37" s="170" t="b">
        <v>0</v>
      </c>
      <c r="AP37" s="170" t="b">
        <v>0</v>
      </c>
      <c r="AQ37" s="171" t="str">
        <f t="shared" si="10"/>
        <v/>
      </c>
      <c r="AR37" s="164"/>
      <c r="AS37" s="172" t="str">
        <f>IFERROR(__xludf.DUMMYFUNCTION("IFERROR(SPARKLINE(IF(ISBLANK(B37),"""",COUNTIF(L37:AP37,TRUE)),{""charttype"",""bar"";""max"",J37;""color1"",""#b2cdff"";""empty"",""ignore""}),"""")"),"")</f>
        <v/>
      </c>
      <c r="AT37" s="164"/>
      <c r="AU37" s="164"/>
      <c r="AV37" s="173" t="str">
        <f t="shared" si="11"/>
        <v/>
      </c>
      <c r="AW37" s="174"/>
      <c r="AX37" s="49"/>
      <c r="AY37" s="49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ED37" s="51"/>
      <c r="EE37" s="51"/>
      <c r="EF37" s="51"/>
      <c r="EG37" s="51"/>
      <c r="EH37" s="51"/>
      <c r="EI37" s="51"/>
      <c r="EJ37" s="51"/>
      <c r="EK37" s="51"/>
      <c r="EL37" s="51"/>
      <c r="EM37" s="51"/>
      <c r="EN37" s="51"/>
      <c r="EO37" s="51"/>
      <c r="EP37" s="51"/>
      <c r="EQ37" s="51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105">
        <v>46011.0</v>
      </c>
      <c r="FG37" s="106">
        <v>0.0</v>
      </c>
      <c r="FH37" s="51" t="str">
        <f t="shared" si="2"/>
        <v/>
      </c>
      <c r="FI37" s="51"/>
      <c r="FJ37" s="51"/>
      <c r="FK37" s="66">
        <v>20.0</v>
      </c>
      <c r="FL37" s="51"/>
      <c r="FM37" s="66" t="str">
        <f t="shared" si="3"/>
        <v/>
      </c>
      <c r="FN37" s="66" t="str">
        <f t="shared" si="4"/>
        <v/>
      </c>
      <c r="FO37" s="51" t="str">
        <f t="shared" si="5"/>
        <v/>
      </c>
      <c r="FP37" s="51"/>
      <c r="FQ37" s="104"/>
      <c r="FR37" s="104"/>
      <c r="FS37" s="66">
        <v>20.0</v>
      </c>
      <c r="FT37" s="66" t="str">
        <f t="shared" si="6"/>
        <v/>
      </c>
      <c r="FU37" s="66">
        <f t="shared" si="7"/>
        <v>0</v>
      </c>
      <c r="FV37" s="51"/>
      <c r="FW37" s="51"/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  <c r="GM37" s="68"/>
      <c r="GN37" s="68"/>
      <c r="GO37" s="51"/>
      <c r="GP37" s="51"/>
      <c r="GQ37" s="51"/>
      <c r="GR37" s="51"/>
      <c r="GS37" s="51"/>
      <c r="GT37" s="51"/>
      <c r="GU37" s="51"/>
      <c r="GV37" s="51"/>
      <c r="GW37" s="51"/>
      <c r="GX37" s="51"/>
      <c r="GY37" s="51"/>
      <c r="GZ37" s="52"/>
      <c r="HA37" s="52"/>
      <c r="HB37" s="52"/>
      <c r="HC37" s="52"/>
      <c r="HD37" s="52"/>
      <c r="HE37" s="52"/>
      <c r="HF37" s="52"/>
      <c r="HG37" s="52"/>
      <c r="HH37" s="52"/>
    </row>
    <row r="38">
      <c r="A38" s="162"/>
      <c r="B38" s="163"/>
      <c r="C38" s="164"/>
      <c r="D38" s="164"/>
      <c r="E38" s="164"/>
      <c r="F38" s="164"/>
      <c r="G38" s="165"/>
      <c r="H38" s="164"/>
      <c r="I38" s="164"/>
      <c r="J38" s="165"/>
      <c r="K38" s="164"/>
      <c r="L38" s="166" t="b">
        <v>0</v>
      </c>
      <c r="M38" s="166" t="b">
        <v>0</v>
      </c>
      <c r="N38" s="166" t="b">
        <v>0</v>
      </c>
      <c r="O38" s="166" t="b">
        <v>0</v>
      </c>
      <c r="P38" s="166" t="b">
        <v>0</v>
      </c>
      <c r="Q38" s="166" t="b">
        <v>0</v>
      </c>
      <c r="R38" s="166" t="b">
        <v>0</v>
      </c>
      <c r="S38" s="167" t="b">
        <v>0</v>
      </c>
      <c r="T38" s="167" t="b">
        <v>0</v>
      </c>
      <c r="U38" s="167" t="b">
        <v>0</v>
      </c>
      <c r="V38" s="167" t="b">
        <v>0</v>
      </c>
      <c r="W38" s="167" t="b">
        <v>0</v>
      </c>
      <c r="X38" s="167" t="b">
        <v>0</v>
      </c>
      <c r="Y38" s="167" t="b">
        <v>0</v>
      </c>
      <c r="Z38" s="168" t="b">
        <v>0</v>
      </c>
      <c r="AA38" s="168" t="b">
        <v>0</v>
      </c>
      <c r="AB38" s="168" t="b">
        <v>0</v>
      </c>
      <c r="AC38" s="168" t="b">
        <v>0</v>
      </c>
      <c r="AD38" s="168" t="b">
        <v>0</v>
      </c>
      <c r="AE38" s="168" t="b">
        <v>0</v>
      </c>
      <c r="AF38" s="168" t="b">
        <v>0</v>
      </c>
      <c r="AG38" s="169" t="b">
        <v>0</v>
      </c>
      <c r="AH38" s="169" t="b">
        <v>0</v>
      </c>
      <c r="AI38" s="169" t="b">
        <v>0</v>
      </c>
      <c r="AJ38" s="169" t="b">
        <v>0</v>
      </c>
      <c r="AK38" s="169" t="b">
        <v>0</v>
      </c>
      <c r="AL38" s="169" t="b">
        <v>0</v>
      </c>
      <c r="AM38" s="169" t="b">
        <v>0</v>
      </c>
      <c r="AN38" s="170" t="b">
        <v>0</v>
      </c>
      <c r="AO38" s="170" t="b">
        <v>0</v>
      </c>
      <c r="AP38" s="170" t="b">
        <v>0</v>
      </c>
      <c r="AQ38" s="171" t="str">
        <f t="shared" si="10"/>
        <v/>
      </c>
      <c r="AR38" s="164"/>
      <c r="AS38" s="172" t="str">
        <f>IFERROR(__xludf.DUMMYFUNCTION("IFERROR(SPARKLINE(IF(ISBLANK(B38),"""",COUNTIF(L38:AP38,TRUE)),{""charttype"",""bar"";""max"",J38;""color1"",""#b2cdff"";""empty"",""ignore""}),"""")"),"")</f>
        <v/>
      </c>
      <c r="AT38" s="164"/>
      <c r="AU38" s="164"/>
      <c r="AV38" s="173" t="str">
        <f t="shared" si="11"/>
        <v/>
      </c>
      <c r="AW38" s="174"/>
      <c r="AX38" s="49"/>
      <c r="AY38" s="49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ED38" s="51"/>
      <c r="EE38" s="51"/>
      <c r="EF38" s="51"/>
      <c r="EG38" s="51"/>
      <c r="EH38" s="51"/>
      <c r="EI38" s="51"/>
      <c r="EJ38" s="51"/>
      <c r="EK38" s="51"/>
      <c r="EL38" s="51"/>
      <c r="EM38" s="51"/>
      <c r="EN38" s="51"/>
      <c r="EO38" s="51"/>
      <c r="EP38" s="51"/>
      <c r="EQ38" s="51"/>
      <c r="ER38" s="51"/>
      <c r="ES38" s="51"/>
      <c r="ET38" s="51"/>
      <c r="EU38" s="51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105">
        <v>46012.0</v>
      </c>
      <c r="FG38" s="106">
        <v>0.0</v>
      </c>
      <c r="FH38" s="51" t="str">
        <f t="shared" si="2"/>
        <v/>
      </c>
      <c r="FI38" s="51"/>
      <c r="FJ38" s="51"/>
      <c r="FK38" s="51"/>
      <c r="FL38" s="51"/>
      <c r="FM38" s="51"/>
      <c r="FN38" s="51"/>
      <c r="FO38" s="51"/>
      <c r="FP38" s="51"/>
      <c r="FQ38" s="51"/>
      <c r="FR38" s="66"/>
      <c r="FS38" s="66"/>
      <c r="FT38" s="51"/>
      <c r="FU38" s="51"/>
      <c r="FV38" s="51"/>
      <c r="FW38" s="51"/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  <c r="GM38" s="68"/>
      <c r="GN38" s="68"/>
      <c r="GO38" s="51"/>
      <c r="GP38" s="51"/>
      <c r="GQ38" s="51"/>
      <c r="GR38" s="51"/>
      <c r="GS38" s="51"/>
      <c r="GT38" s="51"/>
      <c r="GU38" s="51"/>
      <c r="GV38" s="51"/>
      <c r="GW38" s="51"/>
      <c r="GX38" s="51"/>
      <c r="GY38" s="51"/>
      <c r="GZ38" s="52"/>
      <c r="HA38" s="52"/>
      <c r="HB38" s="52"/>
      <c r="HC38" s="52"/>
      <c r="HD38" s="52"/>
      <c r="HE38" s="52"/>
      <c r="HF38" s="52"/>
      <c r="HG38" s="52"/>
      <c r="HH38" s="52"/>
    </row>
    <row r="39">
      <c r="A39" s="162"/>
      <c r="B39" s="163"/>
      <c r="C39" s="164"/>
      <c r="D39" s="164"/>
      <c r="E39" s="164"/>
      <c r="F39" s="164"/>
      <c r="G39" s="165"/>
      <c r="H39" s="164"/>
      <c r="I39" s="164"/>
      <c r="J39" s="165"/>
      <c r="K39" s="164"/>
      <c r="L39" s="166" t="b">
        <v>0</v>
      </c>
      <c r="M39" s="166" t="b">
        <v>0</v>
      </c>
      <c r="N39" s="166" t="b">
        <v>0</v>
      </c>
      <c r="O39" s="166" t="b">
        <v>0</v>
      </c>
      <c r="P39" s="166" t="b">
        <v>0</v>
      </c>
      <c r="Q39" s="166" t="b">
        <v>0</v>
      </c>
      <c r="R39" s="166" t="b">
        <v>0</v>
      </c>
      <c r="S39" s="167" t="b">
        <v>0</v>
      </c>
      <c r="T39" s="167" t="b">
        <v>0</v>
      </c>
      <c r="U39" s="167" t="b">
        <v>0</v>
      </c>
      <c r="V39" s="167" t="b">
        <v>0</v>
      </c>
      <c r="W39" s="167" t="b">
        <v>0</v>
      </c>
      <c r="X39" s="167" t="b">
        <v>0</v>
      </c>
      <c r="Y39" s="167" t="b">
        <v>0</v>
      </c>
      <c r="Z39" s="168" t="b">
        <v>0</v>
      </c>
      <c r="AA39" s="168" t="b">
        <v>0</v>
      </c>
      <c r="AB39" s="168" t="b">
        <v>0</v>
      </c>
      <c r="AC39" s="168" t="b">
        <v>0</v>
      </c>
      <c r="AD39" s="168" t="b">
        <v>0</v>
      </c>
      <c r="AE39" s="168" t="b">
        <v>0</v>
      </c>
      <c r="AF39" s="168" t="b">
        <v>0</v>
      </c>
      <c r="AG39" s="169" t="b">
        <v>0</v>
      </c>
      <c r="AH39" s="169" t="b">
        <v>0</v>
      </c>
      <c r="AI39" s="169" t="b">
        <v>0</v>
      </c>
      <c r="AJ39" s="169" t="b">
        <v>0</v>
      </c>
      <c r="AK39" s="169" t="b">
        <v>0</v>
      </c>
      <c r="AL39" s="169" t="b">
        <v>0</v>
      </c>
      <c r="AM39" s="169" t="b">
        <v>0</v>
      </c>
      <c r="AN39" s="170" t="b">
        <v>0</v>
      </c>
      <c r="AO39" s="170" t="b">
        <v>0</v>
      </c>
      <c r="AP39" s="170" t="b">
        <v>0</v>
      </c>
      <c r="AQ39" s="171" t="str">
        <f t="shared" si="10"/>
        <v/>
      </c>
      <c r="AR39" s="164"/>
      <c r="AS39" s="172" t="str">
        <f>IFERROR(__xludf.DUMMYFUNCTION("IFERROR(SPARKLINE(IF(ISBLANK(B39),"""",COUNTIF(L39:AP39,TRUE)),{""charttype"",""bar"";""max"",J39;""color1"",""#b2cdff"";""empty"",""ignore""}),"""")"),"")</f>
        <v/>
      </c>
      <c r="AT39" s="164"/>
      <c r="AU39" s="164"/>
      <c r="AV39" s="173" t="str">
        <f t="shared" si="11"/>
        <v/>
      </c>
      <c r="AW39" s="174"/>
      <c r="AX39" s="49"/>
      <c r="AY39" s="49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ED39" s="51"/>
      <c r="EE39" s="51"/>
      <c r="EF39" s="51"/>
      <c r="EG39" s="51"/>
      <c r="EH39" s="51"/>
      <c r="EI39" s="51"/>
      <c r="EJ39" s="51"/>
      <c r="EK39" s="51"/>
      <c r="EL39" s="51"/>
      <c r="EM39" s="51"/>
      <c r="EN39" s="51"/>
      <c r="EO39" s="51"/>
      <c r="EP39" s="51"/>
      <c r="EQ39" s="51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105">
        <v>46013.0</v>
      </c>
      <c r="FG39" s="106">
        <v>0.0</v>
      </c>
      <c r="FH39" s="51" t="str">
        <f t="shared" si="2"/>
        <v/>
      </c>
      <c r="FI39" s="51"/>
      <c r="FJ39" s="51"/>
      <c r="FK39" s="51"/>
      <c r="FL39" s="51"/>
      <c r="FM39" s="51"/>
      <c r="FN39" s="51"/>
      <c r="FO39" s="51"/>
      <c r="FP39" s="51"/>
      <c r="FQ39" s="51"/>
      <c r="FR39" s="66"/>
      <c r="FS39" s="66"/>
      <c r="FT39" s="51"/>
      <c r="FU39" s="51"/>
      <c r="FV39" s="51"/>
      <c r="FW39" s="51"/>
      <c r="FX39" s="51"/>
      <c r="FY39" s="51"/>
      <c r="FZ39" s="51"/>
      <c r="GA39" s="51"/>
      <c r="GB39" s="51"/>
      <c r="GC39" s="51"/>
      <c r="GD39" s="51"/>
      <c r="GE39" s="51"/>
      <c r="GF39" s="51"/>
      <c r="GG39" s="51"/>
      <c r="GH39" s="51"/>
      <c r="GI39" s="51"/>
      <c r="GJ39" s="51"/>
      <c r="GK39" s="51"/>
      <c r="GL39" s="51"/>
      <c r="GM39" s="68"/>
      <c r="GN39" s="68"/>
      <c r="GO39" s="51"/>
      <c r="GP39" s="51"/>
      <c r="GQ39" s="51"/>
      <c r="GR39" s="51"/>
      <c r="GS39" s="51"/>
      <c r="GT39" s="51"/>
      <c r="GU39" s="51"/>
      <c r="GV39" s="51"/>
      <c r="GW39" s="51"/>
      <c r="GX39" s="51"/>
      <c r="GY39" s="51"/>
      <c r="GZ39" s="52"/>
      <c r="HA39" s="52"/>
      <c r="HB39" s="52"/>
      <c r="HC39" s="52"/>
      <c r="HD39" s="52"/>
      <c r="HE39" s="52"/>
      <c r="HF39" s="52"/>
      <c r="HG39" s="52"/>
      <c r="HH39" s="52"/>
    </row>
    <row r="40">
      <c r="A40" s="162"/>
      <c r="B40" s="163"/>
      <c r="C40" s="164"/>
      <c r="D40" s="164"/>
      <c r="E40" s="164"/>
      <c r="F40" s="164"/>
      <c r="G40" s="165"/>
      <c r="H40" s="164"/>
      <c r="I40" s="164"/>
      <c r="J40" s="165"/>
      <c r="K40" s="164"/>
      <c r="L40" s="166" t="b">
        <v>0</v>
      </c>
      <c r="M40" s="166" t="b">
        <v>0</v>
      </c>
      <c r="N40" s="166" t="b">
        <v>0</v>
      </c>
      <c r="O40" s="166" t="b">
        <v>0</v>
      </c>
      <c r="P40" s="166" t="b">
        <v>0</v>
      </c>
      <c r="Q40" s="166" t="b">
        <v>0</v>
      </c>
      <c r="R40" s="166" t="b">
        <v>0</v>
      </c>
      <c r="S40" s="167" t="b">
        <v>0</v>
      </c>
      <c r="T40" s="167" t="b">
        <v>0</v>
      </c>
      <c r="U40" s="167" t="b">
        <v>0</v>
      </c>
      <c r="V40" s="167" t="b">
        <v>0</v>
      </c>
      <c r="W40" s="167" t="b">
        <v>0</v>
      </c>
      <c r="X40" s="167" t="b">
        <v>0</v>
      </c>
      <c r="Y40" s="167" t="b">
        <v>0</v>
      </c>
      <c r="Z40" s="168" t="b">
        <v>0</v>
      </c>
      <c r="AA40" s="168" t="b">
        <v>0</v>
      </c>
      <c r="AB40" s="168" t="b">
        <v>0</v>
      </c>
      <c r="AC40" s="168" t="b">
        <v>0</v>
      </c>
      <c r="AD40" s="168" t="b">
        <v>0</v>
      </c>
      <c r="AE40" s="168" t="b">
        <v>0</v>
      </c>
      <c r="AF40" s="168" t="b">
        <v>0</v>
      </c>
      <c r="AG40" s="169" t="b">
        <v>0</v>
      </c>
      <c r="AH40" s="169" t="b">
        <v>0</v>
      </c>
      <c r="AI40" s="169" t="b">
        <v>0</v>
      </c>
      <c r="AJ40" s="169" t="b">
        <v>0</v>
      </c>
      <c r="AK40" s="169" t="b">
        <v>0</v>
      </c>
      <c r="AL40" s="169" t="b">
        <v>0</v>
      </c>
      <c r="AM40" s="169" t="b">
        <v>0</v>
      </c>
      <c r="AN40" s="170" t="b">
        <v>0</v>
      </c>
      <c r="AO40" s="170" t="b">
        <v>0</v>
      </c>
      <c r="AP40" s="170" t="b">
        <v>0</v>
      </c>
      <c r="AQ40" s="171" t="str">
        <f t="shared" si="10"/>
        <v/>
      </c>
      <c r="AR40" s="164"/>
      <c r="AS40" s="172" t="str">
        <f>IFERROR(__xludf.DUMMYFUNCTION("IFERROR(SPARKLINE(IF(ISBLANK(B40),"""",COUNTIF(L40:AP40,TRUE)),{""charttype"",""bar"";""max"",J40;""color1"",""#b2cdff"";""empty"",""ignore""}),"""")"),"")</f>
        <v/>
      </c>
      <c r="AT40" s="164"/>
      <c r="AU40" s="164"/>
      <c r="AV40" s="173" t="str">
        <f t="shared" si="11"/>
        <v/>
      </c>
      <c r="AW40" s="174"/>
      <c r="AX40" s="49"/>
      <c r="AY40" s="49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ED40" s="51"/>
      <c r="EE40" s="51"/>
      <c r="EF40" s="51"/>
      <c r="EG40" s="51"/>
      <c r="EH40" s="51"/>
      <c r="EI40" s="51"/>
      <c r="EJ40" s="51"/>
      <c r="EK40" s="51"/>
      <c r="EL40" s="51"/>
      <c r="EM40" s="51"/>
      <c r="EN40" s="51"/>
      <c r="EO40" s="51"/>
      <c r="EP40" s="51"/>
      <c r="EQ40" s="51"/>
      <c r="ER40" s="51"/>
      <c r="ES40" s="51"/>
      <c r="ET40" s="51"/>
      <c r="EU40" s="51"/>
      <c r="EV40" s="51"/>
      <c r="EW40" s="51"/>
      <c r="EX40" s="51"/>
      <c r="EY40" s="51"/>
      <c r="EZ40" s="51"/>
      <c r="FA40" s="51"/>
      <c r="FB40" s="51"/>
      <c r="FC40" s="51"/>
      <c r="FD40" s="51"/>
      <c r="FE40" s="51"/>
      <c r="FF40" s="105">
        <v>46014.0</v>
      </c>
      <c r="FG40" s="106">
        <v>0.0</v>
      </c>
      <c r="FH40" s="51" t="str">
        <f t="shared" si="2"/>
        <v/>
      </c>
      <c r="FI40" s="51"/>
      <c r="FJ40" s="51"/>
      <c r="FK40" s="51"/>
      <c r="FL40" s="51"/>
      <c r="FM40" s="51"/>
      <c r="FN40" s="51"/>
      <c r="FO40" s="51"/>
      <c r="FP40" s="51"/>
      <c r="FQ40" s="51"/>
      <c r="FR40" s="66"/>
      <c r="FS40" s="66"/>
      <c r="FT40" s="51"/>
      <c r="FU40" s="51"/>
      <c r="FV40" s="51"/>
      <c r="FW40" s="51"/>
      <c r="FX40" s="51"/>
      <c r="FY40" s="51"/>
      <c r="FZ40" s="51"/>
      <c r="GA40" s="51"/>
      <c r="GB40" s="51"/>
      <c r="GC40" s="51"/>
      <c r="GD40" s="51"/>
      <c r="GE40" s="51"/>
      <c r="GF40" s="51"/>
      <c r="GG40" s="51"/>
      <c r="GH40" s="51"/>
      <c r="GI40" s="51"/>
      <c r="GJ40" s="51"/>
      <c r="GK40" s="51"/>
      <c r="GL40" s="51"/>
      <c r="GM40" s="68"/>
      <c r="GN40" s="68"/>
      <c r="GO40" s="51"/>
      <c r="GP40" s="51"/>
      <c r="GQ40" s="51"/>
      <c r="GR40" s="51"/>
      <c r="GS40" s="51"/>
      <c r="GT40" s="51"/>
      <c r="GU40" s="51"/>
      <c r="GV40" s="51"/>
      <c r="GW40" s="51"/>
      <c r="GX40" s="51"/>
      <c r="GY40" s="51"/>
      <c r="GZ40" s="52"/>
      <c r="HA40" s="52"/>
      <c r="HB40" s="52"/>
      <c r="HC40" s="52"/>
      <c r="HD40" s="52"/>
      <c r="HE40" s="52"/>
      <c r="HF40" s="52"/>
      <c r="HG40" s="52"/>
      <c r="HH40" s="52"/>
    </row>
    <row r="41">
      <c r="A41" s="162"/>
      <c r="B41" s="163"/>
      <c r="C41" s="164"/>
      <c r="D41" s="164"/>
      <c r="E41" s="164"/>
      <c r="F41" s="164"/>
      <c r="G41" s="165"/>
      <c r="H41" s="164"/>
      <c r="I41" s="164"/>
      <c r="J41" s="165"/>
      <c r="K41" s="164"/>
      <c r="L41" s="166" t="b">
        <v>0</v>
      </c>
      <c r="M41" s="166" t="b">
        <v>0</v>
      </c>
      <c r="N41" s="166" t="b">
        <v>0</v>
      </c>
      <c r="O41" s="166" t="b">
        <v>0</v>
      </c>
      <c r="P41" s="166" t="b">
        <v>0</v>
      </c>
      <c r="Q41" s="166" t="b">
        <v>0</v>
      </c>
      <c r="R41" s="166" t="b">
        <v>0</v>
      </c>
      <c r="S41" s="167" t="b">
        <v>0</v>
      </c>
      <c r="T41" s="167" t="b">
        <v>0</v>
      </c>
      <c r="U41" s="167" t="b">
        <v>0</v>
      </c>
      <c r="V41" s="167" t="b">
        <v>0</v>
      </c>
      <c r="W41" s="167" t="b">
        <v>0</v>
      </c>
      <c r="X41" s="167" t="b">
        <v>0</v>
      </c>
      <c r="Y41" s="167" t="b">
        <v>0</v>
      </c>
      <c r="Z41" s="168" t="b">
        <v>0</v>
      </c>
      <c r="AA41" s="168" t="b">
        <v>0</v>
      </c>
      <c r="AB41" s="168" t="b">
        <v>0</v>
      </c>
      <c r="AC41" s="168" t="b">
        <v>0</v>
      </c>
      <c r="AD41" s="168" t="b">
        <v>0</v>
      </c>
      <c r="AE41" s="168" t="b">
        <v>0</v>
      </c>
      <c r="AF41" s="168" t="b">
        <v>0</v>
      </c>
      <c r="AG41" s="169" t="b">
        <v>0</v>
      </c>
      <c r="AH41" s="169" t="b">
        <v>0</v>
      </c>
      <c r="AI41" s="169" t="b">
        <v>0</v>
      </c>
      <c r="AJ41" s="169" t="b">
        <v>0</v>
      </c>
      <c r="AK41" s="169" t="b">
        <v>0</v>
      </c>
      <c r="AL41" s="169" t="b">
        <v>0</v>
      </c>
      <c r="AM41" s="169" t="b">
        <v>0</v>
      </c>
      <c r="AN41" s="170" t="b">
        <v>0</v>
      </c>
      <c r="AO41" s="170" t="b">
        <v>0</v>
      </c>
      <c r="AP41" s="170" t="b">
        <v>0</v>
      </c>
      <c r="AQ41" s="171" t="str">
        <f t="shared" si="10"/>
        <v/>
      </c>
      <c r="AR41" s="164"/>
      <c r="AS41" s="172" t="str">
        <f>IFERROR(__xludf.DUMMYFUNCTION("IFERROR(SPARKLINE(IF(ISBLANK(B41),"""",COUNTIF(L41:AP41,TRUE)),{""charttype"",""bar"";""max"",J41;""color1"",""#b2cdff"";""empty"",""ignore""}),"""")"),"")</f>
        <v/>
      </c>
      <c r="AT41" s="164"/>
      <c r="AU41" s="164"/>
      <c r="AV41" s="173" t="str">
        <f t="shared" si="11"/>
        <v/>
      </c>
      <c r="AW41" s="174"/>
      <c r="AX41" s="49"/>
      <c r="AY41" s="49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  <c r="EJ41" s="51"/>
      <c r="EK41" s="51"/>
      <c r="EL41" s="51"/>
      <c r="EM41" s="51"/>
      <c r="EN41" s="51"/>
      <c r="EO41" s="51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105">
        <v>46015.0</v>
      </c>
      <c r="FG41" s="106">
        <v>0.0</v>
      </c>
      <c r="FH41" s="51" t="str">
        <f t="shared" si="2"/>
        <v/>
      </c>
      <c r="FI41" s="51"/>
      <c r="FJ41" s="51"/>
      <c r="FK41" s="51"/>
      <c r="FL41" s="51"/>
      <c r="FM41" s="51"/>
      <c r="FN41" s="51"/>
      <c r="FO41" s="51"/>
      <c r="FP41" s="51"/>
      <c r="FQ41" s="51"/>
      <c r="FR41" s="66"/>
      <c r="FS41" s="66"/>
      <c r="FT41" s="51"/>
      <c r="FU41" s="51"/>
      <c r="FV41" s="51"/>
      <c r="FW41" s="51"/>
      <c r="FX41" s="51"/>
      <c r="FY41" s="51"/>
      <c r="FZ41" s="51"/>
      <c r="GA41" s="51"/>
      <c r="GB41" s="51"/>
      <c r="GC41" s="51"/>
      <c r="GD41" s="51"/>
      <c r="GE41" s="51"/>
      <c r="GF41" s="51"/>
      <c r="GG41" s="51"/>
      <c r="GH41" s="51"/>
      <c r="GI41" s="51"/>
      <c r="GJ41" s="51"/>
      <c r="GK41" s="51"/>
      <c r="GL41" s="51"/>
      <c r="GM41" s="68"/>
      <c r="GN41" s="68"/>
      <c r="GO41" s="51"/>
      <c r="GP41" s="51"/>
      <c r="GQ41" s="51"/>
      <c r="GR41" s="51"/>
      <c r="GS41" s="51"/>
      <c r="GT41" s="51"/>
      <c r="GU41" s="51"/>
      <c r="GV41" s="51"/>
      <c r="GW41" s="51"/>
      <c r="GX41" s="51"/>
      <c r="GY41" s="51"/>
      <c r="GZ41" s="52"/>
      <c r="HA41" s="52"/>
      <c r="HB41" s="52"/>
      <c r="HC41" s="52"/>
      <c r="HD41" s="52"/>
      <c r="HE41" s="52"/>
      <c r="HF41" s="52"/>
      <c r="HG41" s="52"/>
      <c r="HH41" s="52"/>
    </row>
    <row r="42">
      <c r="A42" s="162"/>
      <c r="B42" s="163"/>
      <c r="C42" s="164"/>
      <c r="D42" s="164"/>
      <c r="E42" s="164"/>
      <c r="F42" s="164"/>
      <c r="G42" s="165"/>
      <c r="H42" s="164"/>
      <c r="I42" s="164"/>
      <c r="J42" s="165"/>
      <c r="K42" s="164"/>
      <c r="L42" s="166" t="b">
        <v>0</v>
      </c>
      <c r="M42" s="166" t="b">
        <v>0</v>
      </c>
      <c r="N42" s="166" t="b">
        <v>0</v>
      </c>
      <c r="O42" s="166" t="b">
        <v>0</v>
      </c>
      <c r="P42" s="166" t="b">
        <v>0</v>
      </c>
      <c r="Q42" s="166" t="b">
        <v>0</v>
      </c>
      <c r="R42" s="166" t="b">
        <v>0</v>
      </c>
      <c r="S42" s="167" t="b">
        <v>0</v>
      </c>
      <c r="T42" s="167" t="b">
        <v>0</v>
      </c>
      <c r="U42" s="167" t="b">
        <v>0</v>
      </c>
      <c r="V42" s="167" t="b">
        <v>0</v>
      </c>
      <c r="W42" s="167" t="b">
        <v>0</v>
      </c>
      <c r="X42" s="167" t="b">
        <v>0</v>
      </c>
      <c r="Y42" s="167" t="b">
        <v>0</v>
      </c>
      <c r="Z42" s="168" t="b">
        <v>0</v>
      </c>
      <c r="AA42" s="168" t="b">
        <v>0</v>
      </c>
      <c r="AB42" s="168" t="b">
        <v>0</v>
      </c>
      <c r="AC42" s="168" t="b">
        <v>0</v>
      </c>
      <c r="AD42" s="168" t="b">
        <v>0</v>
      </c>
      <c r="AE42" s="168" t="b">
        <v>0</v>
      </c>
      <c r="AF42" s="168" t="b">
        <v>0</v>
      </c>
      <c r="AG42" s="169" t="b">
        <v>0</v>
      </c>
      <c r="AH42" s="169" t="b">
        <v>0</v>
      </c>
      <c r="AI42" s="169" t="b">
        <v>0</v>
      </c>
      <c r="AJ42" s="169" t="b">
        <v>0</v>
      </c>
      <c r="AK42" s="169" t="b">
        <v>0</v>
      </c>
      <c r="AL42" s="169" t="b">
        <v>0</v>
      </c>
      <c r="AM42" s="169" t="b">
        <v>0</v>
      </c>
      <c r="AN42" s="170" t="b">
        <v>0</v>
      </c>
      <c r="AO42" s="170" t="b">
        <v>0</v>
      </c>
      <c r="AP42" s="170" t="b">
        <v>0</v>
      </c>
      <c r="AQ42" s="171" t="str">
        <f t="shared" si="10"/>
        <v/>
      </c>
      <c r="AR42" s="164"/>
      <c r="AS42" s="172" t="str">
        <f>IFERROR(__xludf.DUMMYFUNCTION("IFERROR(SPARKLINE(IF(ISBLANK(B42),"""",COUNTIF(L42:AP42,TRUE)),{""charttype"",""bar"";""max"",J42;""color1"",""#b2cdff"";""empty"",""ignore""}),"""")"),"")</f>
        <v/>
      </c>
      <c r="AT42" s="164"/>
      <c r="AU42" s="164"/>
      <c r="AV42" s="173" t="str">
        <f t="shared" si="11"/>
        <v/>
      </c>
      <c r="AW42" s="174"/>
      <c r="AX42" s="49"/>
      <c r="AY42" s="49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  <c r="DS42" s="51"/>
      <c r="DT42" s="51"/>
      <c r="DU42" s="51"/>
      <c r="DV42" s="51"/>
      <c r="DW42" s="51"/>
      <c r="DX42" s="51"/>
      <c r="DY42" s="51"/>
      <c r="DZ42" s="51"/>
      <c r="EA42" s="51"/>
      <c r="EB42" s="51"/>
      <c r="EC42" s="51"/>
      <c r="ED42" s="51"/>
      <c r="EE42" s="51"/>
      <c r="EF42" s="51"/>
      <c r="EG42" s="51"/>
      <c r="EH42" s="51"/>
      <c r="EI42" s="51"/>
      <c r="EJ42" s="51"/>
      <c r="EK42" s="51"/>
      <c r="EL42" s="51"/>
      <c r="EM42" s="51"/>
      <c r="EN42" s="51"/>
      <c r="EO42" s="51"/>
      <c r="EP42" s="51"/>
      <c r="EQ42" s="51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105">
        <v>46016.0</v>
      </c>
      <c r="FG42" s="106">
        <v>0.0</v>
      </c>
      <c r="FH42" s="51" t="str">
        <f t="shared" si="2"/>
        <v/>
      </c>
      <c r="FI42" s="51"/>
      <c r="FJ42" s="51"/>
      <c r="FK42" s="51"/>
      <c r="FL42" s="51"/>
      <c r="FM42" s="51"/>
      <c r="FN42" s="51"/>
      <c r="FO42" s="51"/>
      <c r="FP42" s="51"/>
      <c r="FQ42" s="51"/>
      <c r="FR42" s="66"/>
      <c r="FS42" s="66"/>
      <c r="FT42" s="51"/>
      <c r="FU42" s="51"/>
      <c r="FV42" s="51"/>
      <c r="FW42" s="51"/>
      <c r="FX42" s="51"/>
      <c r="FY42" s="51"/>
      <c r="FZ42" s="51"/>
      <c r="GA42" s="51"/>
      <c r="GB42" s="51"/>
      <c r="GC42" s="51"/>
      <c r="GD42" s="51"/>
      <c r="GE42" s="51"/>
      <c r="GF42" s="51"/>
      <c r="GG42" s="51"/>
      <c r="GH42" s="51"/>
      <c r="GI42" s="51"/>
      <c r="GJ42" s="51"/>
      <c r="GK42" s="51"/>
      <c r="GL42" s="51"/>
      <c r="GM42" s="68"/>
      <c r="GN42" s="68"/>
      <c r="GO42" s="51"/>
      <c r="GP42" s="51"/>
      <c r="GQ42" s="51"/>
      <c r="GR42" s="51"/>
      <c r="GS42" s="51"/>
      <c r="GT42" s="51"/>
      <c r="GU42" s="51"/>
      <c r="GV42" s="51"/>
      <c r="GW42" s="51"/>
      <c r="GX42" s="51"/>
      <c r="GY42" s="51"/>
      <c r="GZ42" s="52"/>
      <c r="HA42" s="52"/>
      <c r="HB42" s="52"/>
      <c r="HC42" s="52"/>
      <c r="HD42" s="52"/>
      <c r="HE42" s="52"/>
      <c r="HF42" s="52"/>
      <c r="HG42" s="52"/>
      <c r="HH42" s="52"/>
    </row>
    <row r="43">
      <c r="A43" s="162"/>
      <c r="B43" s="163"/>
      <c r="C43" s="164"/>
      <c r="D43" s="164"/>
      <c r="E43" s="164"/>
      <c r="F43" s="164"/>
      <c r="G43" s="165"/>
      <c r="H43" s="164"/>
      <c r="I43" s="164"/>
      <c r="J43" s="165"/>
      <c r="K43" s="164"/>
      <c r="L43" s="166" t="b">
        <v>0</v>
      </c>
      <c r="M43" s="166" t="b">
        <v>0</v>
      </c>
      <c r="N43" s="166" t="b">
        <v>0</v>
      </c>
      <c r="O43" s="166" t="b">
        <v>0</v>
      </c>
      <c r="P43" s="166" t="b">
        <v>0</v>
      </c>
      <c r="Q43" s="166" t="b">
        <v>0</v>
      </c>
      <c r="R43" s="166" t="b">
        <v>0</v>
      </c>
      <c r="S43" s="167" t="b">
        <v>0</v>
      </c>
      <c r="T43" s="167" t="b">
        <v>0</v>
      </c>
      <c r="U43" s="167" t="b">
        <v>0</v>
      </c>
      <c r="V43" s="167" t="b">
        <v>0</v>
      </c>
      <c r="W43" s="167" t="b">
        <v>0</v>
      </c>
      <c r="X43" s="167" t="b">
        <v>0</v>
      </c>
      <c r="Y43" s="167" t="b">
        <v>0</v>
      </c>
      <c r="Z43" s="168" t="b">
        <v>0</v>
      </c>
      <c r="AA43" s="168" t="b">
        <v>0</v>
      </c>
      <c r="AB43" s="168" t="b">
        <v>0</v>
      </c>
      <c r="AC43" s="168" t="b">
        <v>0</v>
      </c>
      <c r="AD43" s="168" t="b">
        <v>0</v>
      </c>
      <c r="AE43" s="168" t="b">
        <v>0</v>
      </c>
      <c r="AF43" s="168" t="b">
        <v>0</v>
      </c>
      <c r="AG43" s="169" t="b">
        <v>0</v>
      </c>
      <c r="AH43" s="169" t="b">
        <v>0</v>
      </c>
      <c r="AI43" s="169" t="b">
        <v>0</v>
      </c>
      <c r="AJ43" s="169" t="b">
        <v>0</v>
      </c>
      <c r="AK43" s="169" t="b">
        <v>0</v>
      </c>
      <c r="AL43" s="169" t="b">
        <v>0</v>
      </c>
      <c r="AM43" s="169" t="b">
        <v>0</v>
      </c>
      <c r="AN43" s="170" t="b">
        <v>0</v>
      </c>
      <c r="AO43" s="170" t="b">
        <v>0</v>
      </c>
      <c r="AP43" s="170" t="b">
        <v>0</v>
      </c>
      <c r="AQ43" s="171" t="str">
        <f t="shared" si="10"/>
        <v/>
      </c>
      <c r="AR43" s="164"/>
      <c r="AS43" s="172" t="str">
        <f>IFERROR(__xludf.DUMMYFUNCTION("IFERROR(SPARKLINE(IF(ISBLANK(B43),"""",COUNTIF(L43:AP43,TRUE)),{""charttype"",""bar"";""max"",J43;""color1"",""#b2cdff"";""empty"",""ignore""}),"""")"),"")</f>
        <v/>
      </c>
      <c r="AT43" s="164"/>
      <c r="AU43" s="164"/>
      <c r="AV43" s="173" t="str">
        <f t="shared" si="11"/>
        <v/>
      </c>
      <c r="AW43" s="174"/>
      <c r="AX43" s="49"/>
      <c r="AY43" s="49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51"/>
      <c r="EA43" s="51"/>
      <c r="EB43" s="51"/>
      <c r="EC43" s="51"/>
      <c r="ED43" s="51"/>
      <c r="EE43" s="51"/>
      <c r="EF43" s="51"/>
      <c r="EG43" s="51"/>
      <c r="EH43" s="51"/>
      <c r="EI43" s="51"/>
      <c r="EJ43" s="51"/>
      <c r="EK43" s="51"/>
      <c r="EL43" s="51"/>
      <c r="EM43" s="51"/>
      <c r="EN43" s="51"/>
      <c r="EO43" s="51"/>
      <c r="EP43" s="51"/>
      <c r="EQ43" s="51"/>
      <c r="ER43" s="51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  <c r="FE43" s="51"/>
      <c r="FF43" s="105">
        <v>46017.0</v>
      </c>
      <c r="FG43" s="106">
        <v>0.0</v>
      </c>
      <c r="FH43" s="51" t="str">
        <f t="shared" si="2"/>
        <v/>
      </c>
      <c r="FI43" s="51"/>
      <c r="FJ43" s="51"/>
      <c r="FK43" s="51"/>
      <c r="FL43" s="51"/>
      <c r="FM43" s="51"/>
      <c r="FN43" s="51"/>
      <c r="FO43" s="51"/>
      <c r="FP43" s="51"/>
      <c r="FQ43" s="51"/>
      <c r="FR43" s="51"/>
      <c r="FS43" s="51"/>
      <c r="FT43" s="51"/>
      <c r="FU43" s="51"/>
      <c r="FV43" s="51"/>
      <c r="FW43" s="51"/>
      <c r="FX43" s="51"/>
      <c r="FY43" s="51"/>
      <c r="FZ43" s="51"/>
      <c r="GA43" s="51"/>
      <c r="GB43" s="51"/>
      <c r="GC43" s="51"/>
      <c r="GD43" s="51"/>
      <c r="GE43" s="51"/>
      <c r="GF43" s="51"/>
      <c r="GG43" s="51"/>
      <c r="GH43" s="51"/>
      <c r="GI43" s="51"/>
      <c r="GJ43" s="51"/>
      <c r="GK43" s="51"/>
      <c r="GL43" s="51"/>
      <c r="GM43" s="68"/>
      <c r="GN43" s="68"/>
      <c r="GO43" s="51"/>
      <c r="GP43" s="51"/>
      <c r="GQ43" s="51"/>
      <c r="GR43" s="51"/>
      <c r="GS43" s="51"/>
      <c r="GT43" s="51"/>
      <c r="GU43" s="51"/>
      <c r="GV43" s="51"/>
      <c r="GW43" s="51"/>
      <c r="GX43" s="51"/>
      <c r="GY43" s="51"/>
      <c r="GZ43" s="52"/>
      <c r="HA43" s="52"/>
      <c r="HB43" s="52"/>
      <c r="HC43" s="52"/>
      <c r="HD43" s="52"/>
      <c r="HE43" s="52"/>
      <c r="HF43" s="52"/>
      <c r="HG43" s="52"/>
      <c r="HH43" s="52"/>
    </row>
    <row r="44">
      <c r="A44" s="162"/>
      <c r="B44" s="163"/>
      <c r="C44" s="164"/>
      <c r="D44" s="164"/>
      <c r="E44" s="164"/>
      <c r="F44" s="164"/>
      <c r="G44" s="165"/>
      <c r="H44" s="164"/>
      <c r="I44" s="164"/>
      <c r="J44" s="165"/>
      <c r="K44" s="164"/>
      <c r="L44" s="166" t="b">
        <v>0</v>
      </c>
      <c r="M44" s="166" t="b">
        <v>0</v>
      </c>
      <c r="N44" s="166" t="b">
        <v>0</v>
      </c>
      <c r="O44" s="166" t="b">
        <v>0</v>
      </c>
      <c r="P44" s="166" t="b">
        <v>0</v>
      </c>
      <c r="Q44" s="166" t="b">
        <v>0</v>
      </c>
      <c r="R44" s="166" t="b">
        <v>0</v>
      </c>
      <c r="S44" s="167" t="b">
        <v>0</v>
      </c>
      <c r="T44" s="167" t="b">
        <v>0</v>
      </c>
      <c r="U44" s="167" t="b">
        <v>0</v>
      </c>
      <c r="V44" s="167" t="b">
        <v>0</v>
      </c>
      <c r="W44" s="167" t="b">
        <v>0</v>
      </c>
      <c r="X44" s="167" t="b">
        <v>0</v>
      </c>
      <c r="Y44" s="167" t="b">
        <v>0</v>
      </c>
      <c r="Z44" s="168" t="b">
        <v>0</v>
      </c>
      <c r="AA44" s="168" t="b">
        <v>0</v>
      </c>
      <c r="AB44" s="168" t="b">
        <v>0</v>
      </c>
      <c r="AC44" s="168" t="b">
        <v>0</v>
      </c>
      <c r="AD44" s="168" t="b">
        <v>0</v>
      </c>
      <c r="AE44" s="168" t="b">
        <v>0</v>
      </c>
      <c r="AF44" s="168" t="b">
        <v>0</v>
      </c>
      <c r="AG44" s="169" t="b">
        <v>0</v>
      </c>
      <c r="AH44" s="169" t="b">
        <v>0</v>
      </c>
      <c r="AI44" s="169" t="b">
        <v>0</v>
      </c>
      <c r="AJ44" s="169" t="b">
        <v>0</v>
      </c>
      <c r="AK44" s="169" t="b">
        <v>0</v>
      </c>
      <c r="AL44" s="169" t="b">
        <v>0</v>
      </c>
      <c r="AM44" s="169" t="b">
        <v>0</v>
      </c>
      <c r="AN44" s="170" t="b">
        <v>0</v>
      </c>
      <c r="AO44" s="170" t="b">
        <v>0</v>
      </c>
      <c r="AP44" s="170" t="b">
        <v>0</v>
      </c>
      <c r="AQ44" s="171" t="str">
        <f t="shared" si="10"/>
        <v/>
      </c>
      <c r="AR44" s="164"/>
      <c r="AS44" s="172" t="str">
        <f>IFERROR(__xludf.DUMMYFUNCTION("IFERROR(SPARKLINE(IF(ISBLANK(B44),"""",COUNTIF(L44:AP44,TRUE)),{""charttype"",""bar"";""max"",J44;""color1"",""#b2cdff"";""empty"",""ignore""}),"""")"),"")</f>
        <v/>
      </c>
      <c r="AT44" s="164"/>
      <c r="AU44" s="164"/>
      <c r="AV44" s="173" t="str">
        <f t="shared" si="11"/>
        <v/>
      </c>
      <c r="AW44" s="174"/>
      <c r="AX44" s="49"/>
      <c r="AY44" s="49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1"/>
      <c r="EQ44" s="51"/>
      <c r="ER44" s="51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  <c r="FE44" s="51"/>
      <c r="FF44" s="105">
        <v>46018.0</v>
      </c>
      <c r="FG44" s="106">
        <v>0.0</v>
      </c>
      <c r="FH44" s="51" t="str">
        <f t="shared" si="2"/>
        <v/>
      </c>
      <c r="FI44" s="51"/>
      <c r="FJ44" s="51"/>
      <c r="FK44" s="51"/>
      <c r="FL44" s="51"/>
      <c r="FM44" s="51"/>
      <c r="FN44" s="51"/>
      <c r="FO44" s="51"/>
      <c r="FP44" s="51"/>
      <c r="FQ44" s="51"/>
      <c r="FR44" s="51"/>
      <c r="FS44" s="51"/>
      <c r="FT44" s="51"/>
      <c r="FU44" s="51"/>
      <c r="FV44" s="51"/>
      <c r="FW44" s="51"/>
      <c r="FX44" s="51"/>
      <c r="FY44" s="51"/>
      <c r="FZ44" s="51"/>
      <c r="GA44" s="51"/>
      <c r="GB44" s="51"/>
      <c r="GC44" s="51"/>
      <c r="GD44" s="51"/>
      <c r="GE44" s="51"/>
      <c r="GF44" s="51"/>
      <c r="GG44" s="51"/>
      <c r="GH44" s="51"/>
      <c r="GI44" s="51"/>
      <c r="GJ44" s="51"/>
      <c r="GK44" s="51"/>
      <c r="GL44" s="51"/>
      <c r="GM44" s="68"/>
      <c r="GN44" s="68"/>
      <c r="GO44" s="51"/>
      <c r="GP44" s="51"/>
      <c r="GQ44" s="51"/>
      <c r="GR44" s="51"/>
      <c r="GS44" s="51"/>
      <c r="GT44" s="51"/>
      <c r="GU44" s="51"/>
      <c r="GV44" s="51"/>
      <c r="GW44" s="51"/>
      <c r="GX44" s="51"/>
      <c r="GY44" s="51"/>
      <c r="GZ44" s="52"/>
      <c r="HA44" s="52"/>
      <c r="HB44" s="52"/>
      <c r="HC44" s="52"/>
      <c r="HD44" s="52"/>
      <c r="HE44" s="52"/>
      <c r="HF44" s="52"/>
      <c r="HG44" s="52"/>
      <c r="HH44" s="52"/>
    </row>
    <row r="45">
      <c r="A45" s="162"/>
      <c r="B45" s="163"/>
      <c r="C45" s="164"/>
      <c r="D45" s="164"/>
      <c r="E45" s="164"/>
      <c r="F45" s="164"/>
      <c r="G45" s="165"/>
      <c r="H45" s="164"/>
      <c r="I45" s="164"/>
      <c r="J45" s="165"/>
      <c r="K45" s="164"/>
      <c r="L45" s="166" t="b">
        <v>0</v>
      </c>
      <c r="M45" s="166" t="b">
        <v>0</v>
      </c>
      <c r="N45" s="166" t="b">
        <v>0</v>
      </c>
      <c r="O45" s="166" t="b">
        <v>0</v>
      </c>
      <c r="P45" s="166" t="b">
        <v>0</v>
      </c>
      <c r="Q45" s="166" t="b">
        <v>0</v>
      </c>
      <c r="R45" s="166" t="b">
        <v>0</v>
      </c>
      <c r="S45" s="167" t="b">
        <v>0</v>
      </c>
      <c r="T45" s="167" t="b">
        <v>0</v>
      </c>
      <c r="U45" s="167" t="b">
        <v>0</v>
      </c>
      <c r="V45" s="167" t="b">
        <v>0</v>
      </c>
      <c r="W45" s="167" t="b">
        <v>0</v>
      </c>
      <c r="X45" s="167" t="b">
        <v>0</v>
      </c>
      <c r="Y45" s="167" t="b">
        <v>0</v>
      </c>
      <c r="Z45" s="168" t="b">
        <v>0</v>
      </c>
      <c r="AA45" s="168" t="b">
        <v>0</v>
      </c>
      <c r="AB45" s="168" t="b">
        <v>0</v>
      </c>
      <c r="AC45" s="168" t="b">
        <v>0</v>
      </c>
      <c r="AD45" s="168" t="b">
        <v>0</v>
      </c>
      <c r="AE45" s="168" t="b">
        <v>0</v>
      </c>
      <c r="AF45" s="168" t="b">
        <v>0</v>
      </c>
      <c r="AG45" s="169" t="b">
        <v>0</v>
      </c>
      <c r="AH45" s="169" t="b">
        <v>0</v>
      </c>
      <c r="AI45" s="169" t="b">
        <v>0</v>
      </c>
      <c r="AJ45" s="169" t="b">
        <v>0</v>
      </c>
      <c r="AK45" s="169" t="b">
        <v>0</v>
      </c>
      <c r="AL45" s="169" t="b">
        <v>0</v>
      </c>
      <c r="AM45" s="169" t="b">
        <v>0</v>
      </c>
      <c r="AN45" s="170" t="b">
        <v>0</v>
      </c>
      <c r="AO45" s="170" t="b">
        <v>0</v>
      </c>
      <c r="AP45" s="170" t="b">
        <v>0</v>
      </c>
      <c r="AQ45" s="171" t="str">
        <f t="shared" si="10"/>
        <v/>
      </c>
      <c r="AR45" s="164"/>
      <c r="AS45" s="172" t="str">
        <f>IFERROR(__xludf.DUMMYFUNCTION("IFERROR(SPARKLINE(IF(ISBLANK(B45),"""",COUNTIF(L45:AP45,TRUE)),{""charttype"",""bar"";""max"",J45;""color1"",""#b2cdff"";""empty"",""ignore""}),"""")"),"")</f>
        <v/>
      </c>
      <c r="AT45" s="164"/>
      <c r="AU45" s="164"/>
      <c r="AV45" s="173" t="str">
        <f t="shared" si="11"/>
        <v/>
      </c>
      <c r="AW45" s="174"/>
      <c r="AX45" s="49"/>
      <c r="AY45" s="49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51"/>
      <c r="EB45" s="51"/>
      <c r="EC45" s="51"/>
      <c r="ED45" s="51"/>
      <c r="EE45" s="51"/>
      <c r="EF45" s="51"/>
      <c r="EG45" s="51"/>
      <c r="EH45" s="51"/>
      <c r="EI45" s="51"/>
      <c r="EJ45" s="51"/>
      <c r="EK45" s="51"/>
      <c r="EL45" s="51"/>
      <c r="EM45" s="51"/>
      <c r="EN45" s="51"/>
      <c r="EO45" s="51"/>
      <c r="EP45" s="51"/>
      <c r="EQ45" s="51"/>
      <c r="ER45" s="51"/>
      <c r="ES45" s="51"/>
      <c r="ET45" s="51"/>
      <c r="EU45" s="51"/>
      <c r="EV45" s="51"/>
      <c r="EW45" s="51"/>
      <c r="EX45" s="51"/>
      <c r="EY45" s="51"/>
      <c r="EZ45" s="51"/>
      <c r="FA45" s="51"/>
      <c r="FB45" s="51"/>
      <c r="FC45" s="51"/>
      <c r="FD45" s="51"/>
      <c r="FE45" s="51"/>
      <c r="FF45" s="105">
        <v>46019.0</v>
      </c>
      <c r="FG45" s="106">
        <v>0.0</v>
      </c>
      <c r="FH45" s="51" t="str">
        <f t="shared" si="2"/>
        <v/>
      </c>
      <c r="FI45" s="51"/>
      <c r="FJ45" s="51"/>
      <c r="FK45" s="51"/>
      <c r="FL45" s="51"/>
      <c r="FM45" s="51"/>
      <c r="FN45" s="51"/>
      <c r="FO45" s="51"/>
      <c r="FP45" s="51"/>
      <c r="FQ45" s="51"/>
      <c r="FR45" s="51"/>
      <c r="FS45" s="51"/>
      <c r="FT45" s="51"/>
      <c r="FU45" s="51"/>
      <c r="FV45" s="51"/>
      <c r="FW45" s="51"/>
      <c r="FX45" s="51"/>
      <c r="FY45" s="51"/>
      <c r="FZ45" s="51"/>
      <c r="GA45" s="51"/>
      <c r="GB45" s="51"/>
      <c r="GC45" s="51"/>
      <c r="GD45" s="51"/>
      <c r="GE45" s="51"/>
      <c r="GF45" s="51"/>
      <c r="GG45" s="51"/>
      <c r="GH45" s="51"/>
      <c r="GI45" s="51"/>
      <c r="GJ45" s="51"/>
      <c r="GK45" s="51"/>
      <c r="GL45" s="51"/>
      <c r="GM45" s="68"/>
      <c r="GN45" s="68"/>
      <c r="GO45" s="51"/>
      <c r="GP45" s="51"/>
      <c r="GQ45" s="51"/>
      <c r="GR45" s="51"/>
      <c r="GS45" s="51"/>
      <c r="GT45" s="51"/>
      <c r="GU45" s="51"/>
      <c r="GV45" s="51"/>
      <c r="GW45" s="51"/>
      <c r="GX45" s="51"/>
      <c r="GY45" s="51"/>
      <c r="GZ45" s="52"/>
      <c r="HA45" s="52"/>
      <c r="HB45" s="52"/>
      <c r="HC45" s="52"/>
      <c r="HD45" s="52"/>
      <c r="HE45" s="52"/>
      <c r="HF45" s="52"/>
      <c r="HG45" s="52"/>
      <c r="HH45" s="52"/>
    </row>
    <row r="46">
      <c r="A46" s="162"/>
      <c r="B46" s="163"/>
      <c r="C46" s="164"/>
      <c r="D46" s="164"/>
      <c r="E46" s="164"/>
      <c r="F46" s="164"/>
      <c r="G46" s="165"/>
      <c r="H46" s="164"/>
      <c r="I46" s="164"/>
      <c r="J46" s="165"/>
      <c r="K46" s="164"/>
      <c r="L46" s="166" t="b">
        <v>0</v>
      </c>
      <c r="M46" s="166" t="b">
        <v>0</v>
      </c>
      <c r="N46" s="166" t="b">
        <v>0</v>
      </c>
      <c r="O46" s="166" t="b">
        <v>0</v>
      </c>
      <c r="P46" s="166" t="b">
        <v>0</v>
      </c>
      <c r="Q46" s="166" t="b">
        <v>0</v>
      </c>
      <c r="R46" s="166" t="b">
        <v>0</v>
      </c>
      <c r="S46" s="167" t="b">
        <v>0</v>
      </c>
      <c r="T46" s="167" t="b">
        <v>0</v>
      </c>
      <c r="U46" s="167" t="b">
        <v>0</v>
      </c>
      <c r="V46" s="167" t="b">
        <v>0</v>
      </c>
      <c r="W46" s="167" t="b">
        <v>0</v>
      </c>
      <c r="X46" s="167" t="b">
        <v>0</v>
      </c>
      <c r="Y46" s="167" t="b">
        <v>0</v>
      </c>
      <c r="Z46" s="168" t="b">
        <v>0</v>
      </c>
      <c r="AA46" s="168" t="b">
        <v>0</v>
      </c>
      <c r="AB46" s="168" t="b">
        <v>0</v>
      </c>
      <c r="AC46" s="168" t="b">
        <v>0</v>
      </c>
      <c r="AD46" s="168" t="b">
        <v>0</v>
      </c>
      <c r="AE46" s="168" t="b">
        <v>0</v>
      </c>
      <c r="AF46" s="168" t="b">
        <v>0</v>
      </c>
      <c r="AG46" s="169" t="b">
        <v>0</v>
      </c>
      <c r="AH46" s="169" t="b">
        <v>0</v>
      </c>
      <c r="AI46" s="169" t="b">
        <v>0</v>
      </c>
      <c r="AJ46" s="169" t="b">
        <v>0</v>
      </c>
      <c r="AK46" s="169" t="b">
        <v>0</v>
      </c>
      <c r="AL46" s="169" t="b">
        <v>0</v>
      </c>
      <c r="AM46" s="169" t="b">
        <v>0</v>
      </c>
      <c r="AN46" s="170" t="b">
        <v>0</v>
      </c>
      <c r="AO46" s="170" t="b">
        <v>0</v>
      </c>
      <c r="AP46" s="170" t="b">
        <v>0</v>
      </c>
      <c r="AQ46" s="171" t="str">
        <f t="shared" si="10"/>
        <v/>
      </c>
      <c r="AR46" s="164"/>
      <c r="AS46" s="172" t="str">
        <f>IFERROR(__xludf.DUMMYFUNCTION("IFERROR(SPARKLINE(IF(ISBLANK(B46),"""",COUNTIF(L46:AP46,TRUE)),{""charttype"",""bar"";""max"",J46;""color1"",""#b2cdff"";""empty"",""ignore""}),"""")"),"")</f>
        <v/>
      </c>
      <c r="AT46" s="164"/>
      <c r="AU46" s="164"/>
      <c r="AV46" s="173" t="str">
        <f t="shared" si="11"/>
        <v/>
      </c>
      <c r="AW46" s="174"/>
      <c r="AX46" s="49"/>
      <c r="AY46" s="49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  <c r="EB46" s="51"/>
      <c r="EC46" s="51"/>
      <c r="ED46" s="51"/>
      <c r="EE46" s="51"/>
      <c r="EF46" s="51"/>
      <c r="EG46" s="51"/>
      <c r="EH46" s="51"/>
      <c r="EI46" s="51"/>
      <c r="EJ46" s="51"/>
      <c r="EK46" s="51"/>
      <c r="EL46" s="51"/>
      <c r="EM46" s="51"/>
      <c r="EN46" s="51"/>
      <c r="EO46" s="51"/>
      <c r="EP46" s="51"/>
      <c r="EQ46" s="51"/>
      <c r="ER46" s="51"/>
      <c r="ES46" s="51"/>
      <c r="ET46" s="51"/>
      <c r="EU46" s="51"/>
      <c r="EV46" s="51"/>
      <c r="EW46" s="51"/>
      <c r="EX46" s="51"/>
      <c r="EY46" s="51"/>
      <c r="EZ46" s="51"/>
      <c r="FA46" s="51"/>
      <c r="FB46" s="51"/>
      <c r="FC46" s="51"/>
      <c r="FD46" s="51"/>
      <c r="FE46" s="51"/>
      <c r="FF46" s="105">
        <v>46020.0</v>
      </c>
      <c r="FG46" s="106">
        <v>0.0</v>
      </c>
      <c r="FH46" s="51" t="str">
        <f t="shared" si="2"/>
        <v/>
      </c>
      <c r="FI46" s="51"/>
      <c r="FJ46" s="51"/>
      <c r="FK46" s="51"/>
      <c r="FL46" s="51"/>
      <c r="FM46" s="51"/>
      <c r="FN46" s="51"/>
      <c r="FO46" s="51"/>
      <c r="FP46" s="51"/>
      <c r="FQ46" s="51"/>
      <c r="FR46" s="51"/>
      <c r="FS46" s="51"/>
      <c r="FT46" s="51"/>
      <c r="FU46" s="51"/>
      <c r="FV46" s="51"/>
      <c r="FW46" s="51"/>
      <c r="FX46" s="51"/>
      <c r="FY46" s="51"/>
      <c r="FZ46" s="51"/>
      <c r="GA46" s="51"/>
      <c r="GB46" s="51"/>
      <c r="GC46" s="51"/>
      <c r="GD46" s="51"/>
      <c r="GE46" s="51"/>
      <c r="GF46" s="51"/>
      <c r="GG46" s="51"/>
      <c r="GH46" s="51"/>
      <c r="GI46" s="51"/>
      <c r="GJ46" s="51"/>
      <c r="GK46" s="51"/>
      <c r="GL46" s="51"/>
      <c r="GM46" s="68"/>
      <c r="GN46" s="68"/>
      <c r="GO46" s="51"/>
      <c r="GP46" s="51"/>
      <c r="GQ46" s="51"/>
      <c r="GR46" s="51"/>
      <c r="GS46" s="51"/>
      <c r="GT46" s="51"/>
      <c r="GU46" s="51"/>
      <c r="GV46" s="51"/>
      <c r="GW46" s="51"/>
      <c r="GX46" s="51"/>
      <c r="GY46" s="51"/>
      <c r="GZ46" s="52"/>
      <c r="HA46" s="52"/>
      <c r="HB46" s="52"/>
      <c r="HC46" s="52"/>
      <c r="HD46" s="52"/>
      <c r="HE46" s="52"/>
      <c r="HF46" s="52"/>
      <c r="HG46" s="52"/>
      <c r="HH46" s="52"/>
    </row>
    <row r="47">
      <c r="A47" s="162"/>
      <c r="B47" s="163"/>
      <c r="C47" s="164"/>
      <c r="D47" s="164"/>
      <c r="E47" s="164"/>
      <c r="F47" s="164"/>
      <c r="G47" s="165"/>
      <c r="H47" s="164"/>
      <c r="I47" s="164"/>
      <c r="J47" s="165"/>
      <c r="K47" s="164"/>
      <c r="L47" s="166" t="b">
        <v>0</v>
      </c>
      <c r="M47" s="166" t="b">
        <v>0</v>
      </c>
      <c r="N47" s="166" t="b">
        <v>0</v>
      </c>
      <c r="O47" s="166" t="b">
        <v>0</v>
      </c>
      <c r="P47" s="166" t="b">
        <v>0</v>
      </c>
      <c r="Q47" s="166" t="b">
        <v>0</v>
      </c>
      <c r="R47" s="166" t="b">
        <v>0</v>
      </c>
      <c r="S47" s="167" t="b">
        <v>0</v>
      </c>
      <c r="T47" s="167" t="b">
        <v>0</v>
      </c>
      <c r="U47" s="167" t="b">
        <v>0</v>
      </c>
      <c r="V47" s="167" t="b">
        <v>0</v>
      </c>
      <c r="W47" s="175" t="b">
        <v>0</v>
      </c>
      <c r="X47" s="167" t="b">
        <v>0</v>
      </c>
      <c r="Y47" s="167" t="b">
        <v>0</v>
      </c>
      <c r="Z47" s="168" t="b">
        <v>0</v>
      </c>
      <c r="AA47" s="168" t="b">
        <v>0</v>
      </c>
      <c r="AB47" s="168" t="b">
        <v>0</v>
      </c>
      <c r="AC47" s="168" t="b">
        <v>0</v>
      </c>
      <c r="AD47" s="168" t="b">
        <v>0</v>
      </c>
      <c r="AE47" s="168" t="b">
        <v>0</v>
      </c>
      <c r="AF47" s="168" t="b">
        <v>0</v>
      </c>
      <c r="AG47" s="169" t="b">
        <v>0</v>
      </c>
      <c r="AH47" s="169" t="b">
        <v>0</v>
      </c>
      <c r="AI47" s="169" t="b">
        <v>0</v>
      </c>
      <c r="AJ47" s="169" t="b">
        <v>0</v>
      </c>
      <c r="AK47" s="169" t="b">
        <v>0</v>
      </c>
      <c r="AL47" s="169" t="b">
        <v>0</v>
      </c>
      <c r="AM47" s="169" t="b">
        <v>0</v>
      </c>
      <c r="AN47" s="170" t="b">
        <v>0</v>
      </c>
      <c r="AO47" s="170" t="b">
        <v>0</v>
      </c>
      <c r="AP47" s="170" t="b">
        <v>0</v>
      </c>
      <c r="AQ47" s="171" t="str">
        <f t="shared" si="10"/>
        <v/>
      </c>
      <c r="AR47" s="164"/>
      <c r="AS47" s="172" t="str">
        <f>IFERROR(__xludf.DUMMYFUNCTION("IFERROR(SPARKLINE(IF(ISBLANK(B47),"""",COUNTIF(L47:AP47,TRUE)),{""charttype"",""bar"";""max"",J47;""color1"",""#b2cdff"";""empty"",""ignore""}),"""")"),"")</f>
        <v/>
      </c>
      <c r="AT47" s="164"/>
      <c r="AU47" s="164"/>
      <c r="AV47" s="173" t="str">
        <f t="shared" si="11"/>
        <v/>
      </c>
      <c r="AW47" s="174"/>
      <c r="AX47" s="49"/>
      <c r="AY47" s="49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51"/>
      <c r="EB47" s="51"/>
      <c r="EC47" s="51"/>
      <c r="ED47" s="51"/>
      <c r="EE47" s="51"/>
      <c r="EF47" s="51"/>
      <c r="EG47" s="51"/>
      <c r="EH47" s="51"/>
      <c r="EI47" s="51"/>
      <c r="EJ47" s="51"/>
      <c r="EK47" s="51"/>
      <c r="EL47" s="51"/>
      <c r="EM47" s="51"/>
      <c r="EN47" s="51"/>
      <c r="EO47" s="51"/>
      <c r="EP47" s="51"/>
      <c r="EQ47" s="51"/>
      <c r="ER47" s="51"/>
      <c r="ES47" s="51"/>
      <c r="ET47" s="51"/>
      <c r="EU47" s="51"/>
      <c r="EV47" s="51"/>
      <c r="EW47" s="51"/>
      <c r="EX47" s="51"/>
      <c r="EY47" s="51"/>
      <c r="EZ47" s="51"/>
      <c r="FA47" s="51"/>
      <c r="FB47" s="51"/>
      <c r="FC47" s="51"/>
      <c r="FD47" s="51"/>
      <c r="FE47" s="51"/>
      <c r="FF47" s="105">
        <v>46021.0</v>
      </c>
      <c r="FG47" s="106">
        <v>0.0</v>
      </c>
      <c r="FH47" s="51" t="str">
        <f t="shared" si="2"/>
        <v/>
      </c>
      <c r="FI47" s="51"/>
      <c r="FJ47" s="51"/>
      <c r="FK47" s="51"/>
      <c r="FL47" s="51"/>
      <c r="FM47" s="51"/>
      <c r="FN47" s="51"/>
      <c r="FO47" s="51"/>
      <c r="FP47" s="51"/>
      <c r="FQ47" s="51"/>
      <c r="FR47" s="51"/>
      <c r="FS47" s="51"/>
      <c r="FT47" s="51"/>
      <c r="FU47" s="51"/>
      <c r="FV47" s="51"/>
      <c r="FW47" s="51"/>
      <c r="FX47" s="51"/>
      <c r="FY47" s="51"/>
      <c r="FZ47" s="51"/>
      <c r="GA47" s="51"/>
      <c r="GB47" s="51"/>
      <c r="GC47" s="51"/>
      <c r="GD47" s="51"/>
      <c r="GE47" s="51"/>
      <c r="GF47" s="51"/>
      <c r="GG47" s="51"/>
      <c r="GH47" s="51"/>
      <c r="GI47" s="51"/>
      <c r="GJ47" s="51"/>
      <c r="GK47" s="51"/>
      <c r="GL47" s="51"/>
      <c r="GM47" s="68"/>
      <c r="GN47" s="68"/>
      <c r="GO47" s="51"/>
      <c r="GP47" s="51"/>
      <c r="GQ47" s="51"/>
      <c r="GR47" s="51"/>
      <c r="GS47" s="51"/>
      <c r="GT47" s="51"/>
      <c r="GU47" s="51"/>
      <c r="GV47" s="51"/>
      <c r="GW47" s="51"/>
      <c r="GX47" s="51"/>
      <c r="GY47" s="51"/>
      <c r="GZ47" s="52"/>
      <c r="HA47" s="52"/>
      <c r="HB47" s="52"/>
      <c r="HC47" s="52"/>
      <c r="HD47" s="52"/>
      <c r="HE47" s="52"/>
      <c r="HF47" s="52"/>
      <c r="HG47" s="52"/>
      <c r="HH47" s="52"/>
    </row>
    <row r="48">
      <c r="A48" s="162"/>
      <c r="B48" s="163"/>
      <c r="C48" s="164"/>
      <c r="D48" s="164"/>
      <c r="E48" s="164"/>
      <c r="F48" s="164"/>
      <c r="G48" s="165"/>
      <c r="H48" s="164"/>
      <c r="I48" s="164"/>
      <c r="J48" s="165"/>
      <c r="K48" s="164"/>
      <c r="L48" s="166" t="b">
        <v>0</v>
      </c>
      <c r="M48" s="166" t="b">
        <v>0</v>
      </c>
      <c r="N48" s="166" t="b">
        <v>0</v>
      </c>
      <c r="O48" s="166" t="b">
        <v>0</v>
      </c>
      <c r="P48" s="166" t="b">
        <v>0</v>
      </c>
      <c r="Q48" s="166" t="b">
        <v>0</v>
      </c>
      <c r="R48" s="166" t="b">
        <v>0</v>
      </c>
      <c r="S48" s="167" t="b">
        <v>0</v>
      </c>
      <c r="T48" s="167" t="b">
        <v>0</v>
      </c>
      <c r="U48" s="167" t="b">
        <v>0</v>
      </c>
      <c r="V48" s="167" t="b">
        <v>0</v>
      </c>
      <c r="W48" s="167" t="b">
        <v>0</v>
      </c>
      <c r="X48" s="167" t="b">
        <v>0</v>
      </c>
      <c r="Y48" s="167" t="b">
        <v>0</v>
      </c>
      <c r="Z48" s="168" t="b">
        <v>0</v>
      </c>
      <c r="AA48" s="168" t="b">
        <v>0</v>
      </c>
      <c r="AB48" s="168" t="b">
        <v>0</v>
      </c>
      <c r="AC48" s="168" t="b">
        <v>0</v>
      </c>
      <c r="AD48" s="168" t="b">
        <v>0</v>
      </c>
      <c r="AE48" s="168" t="b">
        <v>0</v>
      </c>
      <c r="AF48" s="168" t="b">
        <v>0</v>
      </c>
      <c r="AG48" s="169" t="b">
        <v>0</v>
      </c>
      <c r="AH48" s="169" t="b">
        <v>0</v>
      </c>
      <c r="AI48" s="169" t="b">
        <v>0</v>
      </c>
      <c r="AJ48" s="169" t="b">
        <v>0</v>
      </c>
      <c r="AK48" s="169" t="b">
        <v>0</v>
      </c>
      <c r="AL48" s="169" t="b">
        <v>0</v>
      </c>
      <c r="AM48" s="169" t="b">
        <v>0</v>
      </c>
      <c r="AN48" s="170" t="b">
        <v>0</v>
      </c>
      <c r="AO48" s="170" t="b">
        <v>0</v>
      </c>
      <c r="AP48" s="170" t="b">
        <v>0</v>
      </c>
      <c r="AQ48" s="171" t="str">
        <f t="shared" si="10"/>
        <v/>
      </c>
      <c r="AR48" s="164"/>
      <c r="AS48" s="172" t="str">
        <f>IFERROR(__xludf.DUMMYFUNCTION("IFERROR(SPARKLINE(IF(ISBLANK(B48),"""",COUNTIF(L48:AP48,TRUE)),{""charttype"",""bar"";""max"",J48;""color1"",""#b2cdff"";""empty"",""ignore""}),"""")"),"")</f>
        <v/>
      </c>
      <c r="AT48" s="164"/>
      <c r="AU48" s="164"/>
      <c r="AV48" s="173" t="str">
        <f t="shared" si="11"/>
        <v/>
      </c>
      <c r="AW48" s="174"/>
      <c r="AX48" s="49"/>
      <c r="AY48" s="49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51"/>
      <c r="EF48" s="51"/>
      <c r="EG48" s="51"/>
      <c r="EH48" s="51"/>
      <c r="EI48" s="51"/>
      <c r="EJ48" s="51"/>
      <c r="EK48" s="51"/>
      <c r="EL48" s="51"/>
      <c r="EM48" s="51"/>
      <c r="EN48" s="51"/>
      <c r="EO48" s="51"/>
      <c r="EP48" s="51"/>
      <c r="EQ48" s="51"/>
      <c r="ER48" s="51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  <c r="FE48" s="51"/>
      <c r="FF48" s="105">
        <v>46022.0</v>
      </c>
      <c r="FG48" s="106">
        <v>0.0</v>
      </c>
      <c r="FH48" s="51" t="str">
        <f t="shared" si="2"/>
        <v/>
      </c>
      <c r="FI48" s="51"/>
      <c r="FJ48" s="51"/>
      <c r="FK48" s="51"/>
      <c r="FL48" s="51"/>
      <c r="FM48" s="51"/>
      <c r="FN48" s="51"/>
      <c r="FO48" s="51"/>
      <c r="FP48" s="51"/>
      <c r="FQ48" s="51"/>
      <c r="FR48" s="51"/>
      <c r="FS48" s="51"/>
      <c r="FT48" s="51"/>
      <c r="FU48" s="51"/>
      <c r="FV48" s="51"/>
      <c r="FW48" s="51"/>
      <c r="FX48" s="51"/>
      <c r="FY48" s="51"/>
      <c r="FZ48" s="51"/>
      <c r="GA48" s="51"/>
      <c r="GB48" s="51"/>
      <c r="GC48" s="51"/>
      <c r="GD48" s="51"/>
      <c r="GE48" s="51"/>
      <c r="GF48" s="51"/>
      <c r="GG48" s="51"/>
      <c r="GH48" s="51"/>
      <c r="GI48" s="51"/>
      <c r="GJ48" s="51"/>
      <c r="GK48" s="51"/>
      <c r="GL48" s="51"/>
      <c r="GM48" s="68"/>
      <c r="GN48" s="68"/>
      <c r="GO48" s="51"/>
      <c r="GP48" s="51"/>
      <c r="GQ48" s="51"/>
      <c r="GR48" s="51"/>
      <c r="GS48" s="51"/>
      <c r="GT48" s="51"/>
      <c r="GU48" s="51"/>
      <c r="GV48" s="51"/>
      <c r="GW48" s="51"/>
      <c r="GX48" s="51"/>
      <c r="GY48" s="51"/>
      <c r="GZ48" s="52"/>
      <c r="HA48" s="52"/>
      <c r="HB48" s="52"/>
      <c r="HC48" s="52"/>
      <c r="HD48" s="52"/>
      <c r="HE48" s="52"/>
      <c r="HF48" s="52"/>
      <c r="HG48" s="52"/>
      <c r="HH48" s="52"/>
    </row>
    <row r="49">
      <c r="A49" s="162"/>
      <c r="B49" s="176"/>
      <c r="C49" s="177"/>
      <c r="D49" s="177"/>
      <c r="E49" s="177"/>
      <c r="F49" s="177"/>
      <c r="G49" s="178"/>
      <c r="H49" s="177"/>
      <c r="I49" s="177"/>
      <c r="J49" s="178"/>
      <c r="K49" s="177"/>
      <c r="L49" s="179" t="b">
        <v>0</v>
      </c>
      <c r="M49" s="179" t="b">
        <v>0</v>
      </c>
      <c r="N49" s="179" t="b">
        <v>0</v>
      </c>
      <c r="O49" s="179" t="b">
        <v>0</v>
      </c>
      <c r="P49" s="179" t="b">
        <v>0</v>
      </c>
      <c r="Q49" s="179" t="b">
        <v>0</v>
      </c>
      <c r="R49" s="179" t="b">
        <v>0</v>
      </c>
      <c r="S49" s="180" t="b">
        <v>0</v>
      </c>
      <c r="T49" s="180" t="b">
        <v>0</v>
      </c>
      <c r="U49" s="180" t="b">
        <v>0</v>
      </c>
      <c r="V49" s="180" t="b">
        <v>0</v>
      </c>
      <c r="W49" s="180" t="b">
        <v>0</v>
      </c>
      <c r="X49" s="180" t="b">
        <v>0</v>
      </c>
      <c r="Y49" s="180" t="b">
        <v>0</v>
      </c>
      <c r="Z49" s="181" t="b">
        <v>0</v>
      </c>
      <c r="AA49" s="181" t="b">
        <v>0</v>
      </c>
      <c r="AB49" s="181" t="b">
        <v>0</v>
      </c>
      <c r="AC49" s="181" t="b">
        <v>0</v>
      </c>
      <c r="AD49" s="181" t="b">
        <v>0</v>
      </c>
      <c r="AE49" s="181" t="b">
        <v>0</v>
      </c>
      <c r="AF49" s="181" t="b">
        <v>0</v>
      </c>
      <c r="AG49" s="182" t="b">
        <v>0</v>
      </c>
      <c r="AH49" s="182" t="b">
        <v>0</v>
      </c>
      <c r="AI49" s="182" t="b">
        <v>0</v>
      </c>
      <c r="AJ49" s="182" t="b">
        <v>0</v>
      </c>
      <c r="AK49" s="182" t="b">
        <v>0</v>
      </c>
      <c r="AL49" s="182" t="b">
        <v>0</v>
      </c>
      <c r="AM49" s="182" t="b">
        <v>0</v>
      </c>
      <c r="AN49" s="183" t="b">
        <v>0</v>
      </c>
      <c r="AO49" s="183" t="b">
        <v>0</v>
      </c>
      <c r="AP49" s="183" t="b">
        <v>0</v>
      </c>
      <c r="AQ49" s="184" t="str">
        <f t="shared" si="10"/>
        <v/>
      </c>
      <c r="AR49" s="177"/>
      <c r="AS49" s="185" t="str">
        <f>IFERROR(__xludf.DUMMYFUNCTION("IFERROR(SPARKLINE(IF(ISBLANK(B49),"""",COUNTIF(L49:AP49,TRUE)),{""charttype"",""bar"";""max"",J49;""color1"",""#b2cdff"";""empty"",""ignore""}),"""")"),"")</f>
        <v/>
      </c>
      <c r="AT49" s="177"/>
      <c r="AU49" s="177"/>
      <c r="AV49" s="186" t="str">
        <f t="shared" si="11"/>
        <v/>
      </c>
      <c r="AW49" s="187"/>
      <c r="AX49" s="49"/>
      <c r="AY49" s="49"/>
      <c r="AZ49" s="49"/>
      <c r="BA49" s="49"/>
      <c r="BB49" s="49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51"/>
      <c r="EA49" s="51"/>
      <c r="EB49" s="51"/>
      <c r="EC49" s="51"/>
      <c r="ED49" s="51"/>
      <c r="EE49" s="51"/>
      <c r="EF49" s="51"/>
      <c r="EG49" s="51"/>
      <c r="EH49" s="51"/>
      <c r="EI49" s="51"/>
      <c r="EJ49" s="51"/>
      <c r="EK49" s="51"/>
      <c r="EL49" s="51"/>
      <c r="EM49" s="51"/>
      <c r="EN49" s="51"/>
      <c r="EO49" s="51"/>
      <c r="EP49" s="51"/>
      <c r="EQ49" s="51"/>
      <c r="ER49" s="51"/>
      <c r="ES49" s="51"/>
      <c r="ET49" s="51"/>
      <c r="EU49" s="51"/>
      <c r="EV49" s="51"/>
      <c r="EW49" s="51"/>
      <c r="EX49" s="51"/>
      <c r="EY49" s="51"/>
      <c r="EZ49" s="51"/>
      <c r="FA49" s="51"/>
      <c r="FB49" s="51"/>
      <c r="FC49" s="51"/>
      <c r="FD49" s="51"/>
      <c r="FE49" s="51"/>
      <c r="FF49" s="51"/>
      <c r="FG49" s="51"/>
      <c r="FH49" s="51"/>
      <c r="FI49" s="51"/>
      <c r="FJ49" s="51"/>
      <c r="FK49" s="51"/>
      <c r="FL49" s="51"/>
      <c r="FM49" s="51"/>
      <c r="FN49" s="51"/>
      <c r="FO49" s="51"/>
      <c r="FP49" s="51"/>
      <c r="FQ49" s="51"/>
      <c r="FR49" s="51"/>
      <c r="FS49" s="51"/>
      <c r="FT49" s="51"/>
      <c r="FU49" s="51"/>
      <c r="FV49" s="51"/>
      <c r="FW49" s="51"/>
      <c r="FX49" s="51"/>
      <c r="FY49" s="51"/>
      <c r="FZ49" s="51"/>
      <c r="GA49" s="51"/>
      <c r="GB49" s="51"/>
      <c r="GC49" s="51"/>
      <c r="GD49" s="51"/>
      <c r="GE49" s="51"/>
      <c r="GF49" s="51"/>
      <c r="GG49" s="51"/>
      <c r="GH49" s="51"/>
      <c r="GI49" s="51"/>
      <c r="GJ49" s="51"/>
      <c r="GK49" s="51"/>
      <c r="GL49" s="51"/>
      <c r="GM49" s="51"/>
      <c r="GN49" s="51"/>
      <c r="GO49" s="51"/>
      <c r="GP49" s="51"/>
      <c r="GQ49" s="51"/>
      <c r="GR49" s="51"/>
      <c r="GS49" s="51"/>
      <c r="GT49" s="51"/>
      <c r="GU49" s="51"/>
      <c r="GV49" s="51"/>
      <c r="GW49" s="51"/>
      <c r="GX49" s="51"/>
      <c r="GY49" s="51"/>
      <c r="GZ49" s="52"/>
      <c r="HA49" s="52"/>
      <c r="HB49" s="52"/>
      <c r="HC49" s="52"/>
      <c r="HD49" s="52"/>
      <c r="HE49" s="52"/>
      <c r="HF49" s="52"/>
      <c r="HG49" s="52"/>
      <c r="HH49" s="52"/>
    </row>
    <row r="50" ht="4.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1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  <c r="FE50" s="51"/>
      <c r="FF50" s="51"/>
      <c r="FG50" s="51"/>
      <c r="FH50" s="51"/>
      <c r="FI50" s="51"/>
      <c r="FJ50" s="51"/>
      <c r="FK50" s="51"/>
      <c r="FL50" s="51"/>
      <c r="FM50" s="51"/>
      <c r="FN50" s="51"/>
      <c r="FO50" s="51"/>
      <c r="FP50" s="51"/>
      <c r="FQ50" s="51"/>
      <c r="FR50" s="51"/>
      <c r="FS50" s="51"/>
      <c r="FT50" s="51"/>
      <c r="FU50" s="51"/>
      <c r="FV50" s="51"/>
      <c r="FW50" s="51"/>
      <c r="FX50" s="51"/>
      <c r="FY50" s="51"/>
      <c r="FZ50" s="51"/>
      <c r="GA50" s="51"/>
      <c r="GB50" s="51"/>
      <c r="GC50" s="51"/>
      <c r="GD50" s="51"/>
      <c r="GE50" s="51"/>
      <c r="GF50" s="51"/>
      <c r="GG50" s="51"/>
      <c r="GH50" s="51"/>
      <c r="GI50" s="51"/>
      <c r="GJ50" s="51"/>
      <c r="GK50" s="51"/>
      <c r="GL50" s="51"/>
      <c r="GM50" s="51"/>
      <c r="GN50" s="51"/>
      <c r="GO50" s="51"/>
      <c r="GP50" s="51"/>
      <c r="GQ50" s="51"/>
      <c r="GR50" s="51"/>
      <c r="GS50" s="51"/>
      <c r="GT50" s="51"/>
      <c r="GU50" s="51"/>
      <c r="GV50" s="51"/>
      <c r="GW50" s="51"/>
      <c r="GX50" s="51"/>
      <c r="GY50" s="51"/>
      <c r="GZ50" s="52"/>
      <c r="HA50" s="52"/>
      <c r="HB50" s="52"/>
      <c r="HC50" s="52"/>
      <c r="HD50" s="52"/>
      <c r="HE50" s="52"/>
      <c r="HF50" s="52"/>
      <c r="HG50" s="52"/>
      <c r="HH50" s="52"/>
    </row>
    <row r="51">
      <c r="A51" s="49"/>
      <c r="B51" s="188" t="s">
        <v>59</v>
      </c>
      <c r="C51" s="54"/>
      <c r="D51" s="54"/>
      <c r="E51" s="54"/>
      <c r="F51" s="54"/>
      <c r="G51" s="54"/>
      <c r="H51" s="54"/>
      <c r="I51" s="54"/>
      <c r="J51" s="54"/>
      <c r="K51" s="55"/>
      <c r="L51" s="189">
        <f t="shared" ref="L51:AM51" si="12">IF(COUNTA($B30:$B49)&lt;COUNTIF(L30:L49,TRUE),COUNTA($B30:$B49),COUNTIF(L30:L49,TRUE))</f>
        <v>1</v>
      </c>
      <c r="M51" s="190">
        <f t="shared" si="12"/>
        <v>0</v>
      </c>
      <c r="N51" s="190">
        <f t="shared" si="12"/>
        <v>0</v>
      </c>
      <c r="O51" s="190">
        <f t="shared" si="12"/>
        <v>0</v>
      </c>
      <c r="P51" s="190">
        <f t="shared" si="12"/>
        <v>0</v>
      </c>
      <c r="Q51" s="190">
        <f t="shared" si="12"/>
        <v>0</v>
      </c>
      <c r="R51" s="191">
        <f t="shared" si="12"/>
        <v>0</v>
      </c>
      <c r="S51" s="192">
        <f t="shared" si="12"/>
        <v>0</v>
      </c>
      <c r="T51" s="193">
        <f t="shared" si="12"/>
        <v>0</v>
      </c>
      <c r="U51" s="193">
        <f t="shared" si="12"/>
        <v>0</v>
      </c>
      <c r="V51" s="193">
        <f t="shared" si="12"/>
        <v>0</v>
      </c>
      <c r="W51" s="193">
        <f t="shared" si="12"/>
        <v>0</v>
      </c>
      <c r="X51" s="193">
        <f t="shared" si="12"/>
        <v>0</v>
      </c>
      <c r="Y51" s="194">
        <f t="shared" si="12"/>
        <v>0</v>
      </c>
      <c r="Z51" s="195">
        <f t="shared" si="12"/>
        <v>0</v>
      </c>
      <c r="AA51" s="196">
        <f t="shared" si="12"/>
        <v>0</v>
      </c>
      <c r="AB51" s="196">
        <f t="shared" si="12"/>
        <v>0</v>
      </c>
      <c r="AC51" s="196">
        <f t="shared" si="12"/>
        <v>0</v>
      </c>
      <c r="AD51" s="196">
        <f t="shared" si="12"/>
        <v>0</v>
      </c>
      <c r="AE51" s="196">
        <f t="shared" si="12"/>
        <v>0</v>
      </c>
      <c r="AF51" s="197">
        <f t="shared" si="12"/>
        <v>0</v>
      </c>
      <c r="AG51" s="198">
        <f t="shared" si="12"/>
        <v>0</v>
      </c>
      <c r="AH51" s="199">
        <f t="shared" si="12"/>
        <v>0</v>
      </c>
      <c r="AI51" s="199">
        <f t="shared" si="12"/>
        <v>0</v>
      </c>
      <c r="AJ51" s="199">
        <f t="shared" si="12"/>
        <v>0</v>
      </c>
      <c r="AK51" s="199">
        <f t="shared" si="12"/>
        <v>0</v>
      </c>
      <c r="AL51" s="199">
        <f t="shared" si="12"/>
        <v>0</v>
      </c>
      <c r="AM51" s="200">
        <f t="shared" si="12"/>
        <v>0</v>
      </c>
      <c r="AN51" s="201">
        <f t="shared" ref="AN51:AP51" si="13">IF(AN29="","",IF(COUNTA($B30:$B49)&lt;COUNTIF(AN30:AN49,TRUE),COUNTA($B30:$B49),COUNTIF(AN30:AN49,TRUE)))</f>
        <v>0</v>
      </c>
      <c r="AO51" s="202">
        <f t="shared" si="13"/>
        <v>0</v>
      </c>
      <c r="AP51" s="203">
        <f t="shared" si="13"/>
        <v>0</v>
      </c>
      <c r="AQ51" s="204" t="str">
        <f>IF(ISBLANK(J30),"",SUM(L51:AP51)&amp;" / "&amp;SUM(J30:J49))</f>
        <v>1 / 25</v>
      </c>
      <c r="AR51" s="54"/>
      <c r="AS51" s="205"/>
      <c r="AT51" s="205"/>
      <c r="AU51" s="205"/>
      <c r="AV51" s="206">
        <f>IFERROR(L3,"")</f>
        <v>0.04</v>
      </c>
      <c r="AW51" s="55"/>
      <c r="AX51" s="49"/>
      <c r="AY51" s="49"/>
      <c r="AZ51" s="49"/>
      <c r="BA51" s="49"/>
      <c r="BB51" s="49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51"/>
      <c r="EA51" s="51"/>
      <c r="EB51" s="51"/>
      <c r="EC51" s="51"/>
      <c r="ED51" s="51"/>
      <c r="EE51" s="51"/>
      <c r="EF51" s="51"/>
      <c r="EG51" s="51"/>
      <c r="EH51" s="51"/>
      <c r="EI51" s="51"/>
      <c r="EJ51" s="51"/>
      <c r="EK51" s="51"/>
      <c r="EL51" s="51"/>
      <c r="EM51" s="51"/>
      <c r="EN51" s="51"/>
      <c r="EO51" s="51"/>
      <c r="EP51" s="51"/>
      <c r="EQ51" s="51"/>
      <c r="ER51" s="51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  <c r="FE51" s="51"/>
      <c r="FF51" s="51"/>
      <c r="FG51" s="51"/>
      <c r="FH51" s="51"/>
      <c r="FI51" s="51"/>
      <c r="FJ51" s="51"/>
      <c r="FK51" s="51"/>
      <c r="FL51" s="51"/>
      <c r="FM51" s="51"/>
      <c r="FN51" s="51"/>
      <c r="FO51" s="51"/>
      <c r="FP51" s="51"/>
      <c r="FQ51" s="51"/>
      <c r="FR51" s="51"/>
      <c r="FS51" s="51"/>
      <c r="FT51" s="51"/>
      <c r="FU51" s="51"/>
      <c r="FV51" s="51"/>
      <c r="FW51" s="51"/>
      <c r="FX51" s="51"/>
      <c r="FY51" s="51"/>
      <c r="FZ51" s="51"/>
      <c r="GA51" s="51"/>
      <c r="GB51" s="51"/>
      <c r="GC51" s="51"/>
      <c r="GD51" s="51"/>
      <c r="GE51" s="51"/>
      <c r="GF51" s="51"/>
      <c r="GG51" s="51"/>
      <c r="GH51" s="51"/>
      <c r="GI51" s="51"/>
      <c r="GJ51" s="51"/>
      <c r="GK51" s="51"/>
      <c r="GL51" s="51"/>
      <c r="GM51" s="51"/>
      <c r="GN51" s="51"/>
      <c r="GO51" s="51"/>
      <c r="GP51" s="51"/>
      <c r="GQ51" s="51"/>
      <c r="GR51" s="51"/>
      <c r="GS51" s="51"/>
      <c r="GT51" s="51"/>
      <c r="GU51" s="51"/>
      <c r="GV51" s="51"/>
      <c r="GW51" s="51"/>
      <c r="GX51" s="51"/>
      <c r="GY51" s="51"/>
      <c r="GZ51" s="52"/>
      <c r="HA51" s="52"/>
      <c r="HB51" s="52"/>
      <c r="HC51" s="52"/>
      <c r="HD51" s="52"/>
      <c r="HE51" s="52"/>
      <c r="HF51" s="52"/>
      <c r="HG51" s="52"/>
      <c r="HH51" s="52"/>
    </row>
    <row r="52">
      <c r="A52" s="49"/>
      <c r="B52" s="207" t="s">
        <v>60</v>
      </c>
      <c r="K52" s="70"/>
      <c r="L52" s="208">
        <f t="shared" ref="L52:AM52" si="14">COUNTA($B30:$B49)-L51</f>
        <v>0</v>
      </c>
      <c r="M52" s="209">
        <f t="shared" si="14"/>
        <v>1</v>
      </c>
      <c r="N52" s="209">
        <f t="shared" si="14"/>
        <v>1</v>
      </c>
      <c r="O52" s="209">
        <f t="shared" si="14"/>
        <v>1</v>
      </c>
      <c r="P52" s="209">
        <f t="shared" si="14"/>
        <v>1</v>
      </c>
      <c r="Q52" s="209">
        <f t="shared" si="14"/>
        <v>1</v>
      </c>
      <c r="R52" s="210">
        <f t="shared" si="14"/>
        <v>1</v>
      </c>
      <c r="S52" s="211">
        <f t="shared" si="14"/>
        <v>1</v>
      </c>
      <c r="T52" s="212">
        <f t="shared" si="14"/>
        <v>1</v>
      </c>
      <c r="U52" s="212">
        <f t="shared" si="14"/>
        <v>1</v>
      </c>
      <c r="V52" s="212">
        <f t="shared" si="14"/>
        <v>1</v>
      </c>
      <c r="W52" s="212">
        <f t="shared" si="14"/>
        <v>1</v>
      </c>
      <c r="X52" s="212">
        <f t="shared" si="14"/>
        <v>1</v>
      </c>
      <c r="Y52" s="213">
        <f t="shared" si="14"/>
        <v>1</v>
      </c>
      <c r="Z52" s="214">
        <f t="shared" si="14"/>
        <v>1</v>
      </c>
      <c r="AA52" s="215">
        <f t="shared" si="14"/>
        <v>1</v>
      </c>
      <c r="AB52" s="215">
        <f t="shared" si="14"/>
        <v>1</v>
      </c>
      <c r="AC52" s="215">
        <f t="shared" si="14"/>
        <v>1</v>
      </c>
      <c r="AD52" s="215">
        <f t="shared" si="14"/>
        <v>1</v>
      </c>
      <c r="AE52" s="215">
        <f t="shared" si="14"/>
        <v>1</v>
      </c>
      <c r="AF52" s="216">
        <f t="shared" si="14"/>
        <v>1</v>
      </c>
      <c r="AG52" s="217">
        <f t="shared" si="14"/>
        <v>1</v>
      </c>
      <c r="AH52" s="218">
        <f t="shared" si="14"/>
        <v>1</v>
      </c>
      <c r="AI52" s="218">
        <f t="shared" si="14"/>
        <v>1</v>
      </c>
      <c r="AJ52" s="218">
        <f t="shared" si="14"/>
        <v>1</v>
      </c>
      <c r="AK52" s="218">
        <f t="shared" si="14"/>
        <v>1</v>
      </c>
      <c r="AL52" s="218">
        <f t="shared" si="14"/>
        <v>1</v>
      </c>
      <c r="AM52" s="219">
        <f t="shared" si="14"/>
        <v>1</v>
      </c>
      <c r="AN52" s="220">
        <f t="shared" ref="AN52:AP52" si="15">IF(AN51="","",COUNTA($B30:$B49)-AN51)</f>
        <v>1</v>
      </c>
      <c r="AO52" s="221">
        <f t="shared" si="15"/>
        <v>1</v>
      </c>
      <c r="AP52" s="222">
        <f t="shared" si="15"/>
        <v>1</v>
      </c>
      <c r="AQ52" s="69"/>
      <c r="AS52" s="223" t="str">
        <f>IFERROR(__xludf.DUMMYFUNCTION("SPARKLINE(SUM(L51:AP51),{""charttype"",""bar"";""max"",SUM(J30:J49);""color1"",""white"";""empty"",""ignore""})"),"")</f>
        <v/>
      </c>
      <c r="AW52" s="70"/>
      <c r="AX52" s="49"/>
      <c r="AY52" s="49"/>
      <c r="AZ52" s="49"/>
      <c r="BA52" s="49"/>
      <c r="BB52" s="49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2"/>
      <c r="HA52" s="52"/>
      <c r="HB52" s="52"/>
      <c r="HC52" s="52"/>
      <c r="HD52" s="52"/>
      <c r="HE52" s="52"/>
      <c r="HF52" s="52"/>
      <c r="HG52" s="52"/>
      <c r="HH52" s="52"/>
    </row>
    <row r="53">
      <c r="A53" s="49"/>
      <c r="B53" s="224" t="s">
        <v>40</v>
      </c>
      <c r="C53" s="86"/>
      <c r="D53" s="86"/>
      <c r="E53" s="86"/>
      <c r="F53" s="86"/>
      <c r="G53" s="86"/>
      <c r="H53" s="86"/>
      <c r="I53" s="86"/>
      <c r="J53" s="86"/>
      <c r="K53" s="87"/>
      <c r="L53" s="225">
        <f t="shared" ref="L53:AM53" si="16">IFERROR(L51/COUNTA($B30:$B49),0)</f>
        <v>1</v>
      </c>
      <c r="M53" s="226">
        <f t="shared" si="16"/>
        <v>0</v>
      </c>
      <c r="N53" s="226">
        <f t="shared" si="16"/>
        <v>0</v>
      </c>
      <c r="O53" s="226">
        <f t="shared" si="16"/>
        <v>0</v>
      </c>
      <c r="P53" s="226">
        <f t="shared" si="16"/>
        <v>0</v>
      </c>
      <c r="Q53" s="226">
        <f t="shared" si="16"/>
        <v>0</v>
      </c>
      <c r="R53" s="227">
        <f t="shared" si="16"/>
        <v>0</v>
      </c>
      <c r="S53" s="228">
        <f t="shared" si="16"/>
        <v>0</v>
      </c>
      <c r="T53" s="229">
        <f t="shared" si="16"/>
        <v>0</v>
      </c>
      <c r="U53" s="229">
        <f t="shared" si="16"/>
        <v>0</v>
      </c>
      <c r="V53" s="229">
        <f t="shared" si="16"/>
        <v>0</v>
      </c>
      <c r="W53" s="229">
        <f t="shared" si="16"/>
        <v>0</v>
      </c>
      <c r="X53" s="229">
        <f t="shared" si="16"/>
        <v>0</v>
      </c>
      <c r="Y53" s="230">
        <f t="shared" si="16"/>
        <v>0</v>
      </c>
      <c r="Z53" s="231">
        <f t="shared" si="16"/>
        <v>0</v>
      </c>
      <c r="AA53" s="232">
        <f t="shared" si="16"/>
        <v>0</v>
      </c>
      <c r="AB53" s="232">
        <f t="shared" si="16"/>
        <v>0</v>
      </c>
      <c r="AC53" s="232">
        <f t="shared" si="16"/>
        <v>0</v>
      </c>
      <c r="AD53" s="232">
        <f t="shared" si="16"/>
        <v>0</v>
      </c>
      <c r="AE53" s="232">
        <f t="shared" si="16"/>
        <v>0</v>
      </c>
      <c r="AF53" s="233">
        <f t="shared" si="16"/>
        <v>0</v>
      </c>
      <c r="AG53" s="234">
        <f t="shared" si="16"/>
        <v>0</v>
      </c>
      <c r="AH53" s="235">
        <f t="shared" si="16"/>
        <v>0</v>
      </c>
      <c r="AI53" s="235">
        <f t="shared" si="16"/>
        <v>0</v>
      </c>
      <c r="AJ53" s="235">
        <f t="shared" si="16"/>
        <v>0</v>
      </c>
      <c r="AK53" s="235">
        <f t="shared" si="16"/>
        <v>0</v>
      </c>
      <c r="AL53" s="235">
        <f t="shared" si="16"/>
        <v>0</v>
      </c>
      <c r="AM53" s="236">
        <f t="shared" si="16"/>
        <v>0</v>
      </c>
      <c r="AN53" s="237">
        <f t="shared" ref="AN53:AP53" si="17">IF(AN29="","",IFERROR(AN51/COUNTA($B30:$B49),0))</f>
        <v>0</v>
      </c>
      <c r="AO53" s="238">
        <f t="shared" si="17"/>
        <v>0</v>
      </c>
      <c r="AP53" s="239">
        <f t="shared" si="17"/>
        <v>0</v>
      </c>
      <c r="AQ53" s="88"/>
      <c r="AR53" s="86"/>
      <c r="AS53" s="240"/>
      <c r="AT53" s="240"/>
      <c r="AU53" s="240"/>
      <c r="AV53" s="86"/>
      <c r="AW53" s="87"/>
      <c r="AX53" s="49"/>
      <c r="AY53" s="49"/>
      <c r="AZ53" s="49"/>
      <c r="BA53" s="49"/>
      <c r="BB53" s="49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1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  <c r="FE53" s="51"/>
      <c r="FF53" s="51"/>
      <c r="FG53" s="51"/>
      <c r="FH53" s="51"/>
      <c r="FI53" s="51"/>
      <c r="FJ53" s="51"/>
      <c r="FK53" s="51"/>
      <c r="FL53" s="51"/>
      <c r="FM53" s="51"/>
      <c r="FN53" s="51"/>
      <c r="FO53" s="51"/>
      <c r="FP53" s="51"/>
      <c r="FQ53" s="51"/>
      <c r="FR53" s="51"/>
      <c r="FS53" s="51"/>
      <c r="FT53" s="51"/>
      <c r="FU53" s="51"/>
      <c r="FV53" s="51"/>
      <c r="FW53" s="51"/>
      <c r="FX53" s="51"/>
      <c r="FY53" s="51"/>
      <c r="FZ53" s="51"/>
      <c r="GA53" s="51"/>
      <c r="GB53" s="51"/>
      <c r="GC53" s="51"/>
      <c r="GD53" s="51"/>
      <c r="GE53" s="51"/>
      <c r="GF53" s="51"/>
      <c r="GG53" s="51"/>
      <c r="GH53" s="51"/>
      <c r="GI53" s="51"/>
      <c r="GJ53" s="51"/>
      <c r="GK53" s="51"/>
      <c r="GL53" s="51"/>
      <c r="GM53" s="51"/>
      <c r="GN53" s="51"/>
      <c r="GO53" s="51"/>
      <c r="GP53" s="51"/>
      <c r="GQ53" s="51"/>
      <c r="GR53" s="51"/>
      <c r="GS53" s="51"/>
      <c r="GT53" s="51"/>
      <c r="GU53" s="51"/>
      <c r="GV53" s="51"/>
      <c r="GW53" s="51"/>
      <c r="GX53" s="51"/>
      <c r="GY53" s="51"/>
      <c r="GZ53" s="52"/>
      <c r="HA53" s="52"/>
      <c r="HB53" s="52"/>
      <c r="HC53" s="52"/>
      <c r="HD53" s="52"/>
      <c r="HE53" s="52"/>
      <c r="HF53" s="52"/>
      <c r="HG53" s="52"/>
      <c r="HH53" s="52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162"/>
      <c r="K54" s="162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50"/>
      <c r="AR54" s="50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51"/>
      <c r="EF54" s="51"/>
      <c r="EG54" s="51"/>
      <c r="EH54" s="51"/>
      <c r="EI54" s="51"/>
      <c r="EJ54" s="51"/>
      <c r="EK54" s="51"/>
      <c r="EL54" s="51"/>
      <c r="EM54" s="51"/>
      <c r="EN54" s="51"/>
      <c r="EO54" s="51"/>
      <c r="EP54" s="51"/>
      <c r="EQ54" s="51"/>
      <c r="ER54" s="51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  <c r="FE54" s="51"/>
      <c r="FF54" s="51"/>
      <c r="FG54" s="51"/>
      <c r="FH54" s="51"/>
      <c r="FI54" s="51"/>
      <c r="FJ54" s="51"/>
      <c r="FK54" s="51"/>
      <c r="FL54" s="51"/>
      <c r="FM54" s="51"/>
      <c r="FN54" s="51"/>
      <c r="FO54" s="51"/>
      <c r="FP54" s="51"/>
      <c r="FQ54" s="51"/>
      <c r="FR54" s="51"/>
      <c r="FS54" s="51"/>
      <c r="FT54" s="51"/>
      <c r="FU54" s="51"/>
      <c r="FV54" s="51"/>
      <c r="FW54" s="51"/>
      <c r="FX54" s="51"/>
      <c r="FY54" s="51"/>
      <c r="FZ54" s="51"/>
      <c r="GA54" s="51"/>
      <c r="GB54" s="51"/>
      <c r="GC54" s="51"/>
      <c r="GD54" s="51"/>
      <c r="GE54" s="51"/>
      <c r="GF54" s="51"/>
      <c r="GG54" s="51"/>
      <c r="GH54" s="51"/>
      <c r="GI54" s="51"/>
      <c r="GJ54" s="51"/>
      <c r="GK54" s="51"/>
      <c r="GL54" s="51"/>
      <c r="GM54" s="51"/>
      <c r="GN54" s="51"/>
      <c r="GO54" s="51"/>
      <c r="GP54" s="51"/>
      <c r="GQ54" s="51"/>
      <c r="GR54" s="51"/>
      <c r="GS54" s="51"/>
      <c r="GT54" s="51"/>
      <c r="GU54" s="51"/>
      <c r="GV54" s="51"/>
      <c r="GW54" s="51"/>
      <c r="GX54" s="51"/>
      <c r="GY54" s="51"/>
      <c r="GZ54" s="52"/>
      <c r="HA54" s="52"/>
      <c r="HB54" s="52"/>
      <c r="HC54" s="52"/>
      <c r="HD54" s="52"/>
      <c r="HE54" s="52"/>
      <c r="HF54" s="52"/>
      <c r="HG54" s="52"/>
      <c r="HH54" s="52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162"/>
      <c r="K55" s="162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50"/>
      <c r="AR55" s="50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51"/>
      <c r="EF55" s="51"/>
      <c r="EG55" s="51"/>
      <c r="EH55" s="51"/>
      <c r="EI55" s="51"/>
      <c r="EJ55" s="51"/>
      <c r="EK55" s="51"/>
      <c r="EL55" s="51"/>
      <c r="EM55" s="51"/>
      <c r="EN55" s="51"/>
      <c r="EO55" s="51"/>
      <c r="EP55" s="51"/>
      <c r="EQ55" s="51"/>
      <c r="ER55" s="51"/>
      <c r="ES55" s="51"/>
      <c r="ET55" s="51"/>
      <c r="EU55" s="51"/>
      <c r="EV55" s="51"/>
      <c r="EW55" s="51"/>
      <c r="EX55" s="51"/>
      <c r="EY55" s="51"/>
      <c r="EZ55" s="51"/>
      <c r="FA55" s="51"/>
      <c r="FB55" s="51"/>
      <c r="FC55" s="51"/>
      <c r="FD55" s="51"/>
      <c r="FE55" s="51"/>
      <c r="FF55" s="51"/>
      <c r="FG55" s="51"/>
      <c r="FH55" s="51"/>
      <c r="FI55" s="51"/>
      <c r="FJ55" s="51"/>
      <c r="FK55" s="51"/>
      <c r="FL55" s="51"/>
      <c r="FM55" s="51"/>
      <c r="FN55" s="51"/>
      <c r="FO55" s="51"/>
      <c r="FP55" s="51"/>
      <c r="FQ55" s="51"/>
      <c r="FR55" s="51"/>
      <c r="FS55" s="51"/>
      <c r="FT55" s="51"/>
      <c r="FU55" s="51"/>
      <c r="FV55" s="51"/>
      <c r="FW55" s="51"/>
      <c r="FX55" s="51"/>
      <c r="FY55" s="51"/>
      <c r="FZ55" s="51"/>
      <c r="GA55" s="51"/>
      <c r="GB55" s="51"/>
      <c r="GC55" s="51"/>
      <c r="GD55" s="51"/>
      <c r="GE55" s="51"/>
      <c r="GF55" s="51"/>
      <c r="GG55" s="51"/>
      <c r="GH55" s="51"/>
      <c r="GI55" s="51"/>
      <c r="GJ55" s="51"/>
      <c r="GK55" s="51"/>
      <c r="GL55" s="51"/>
      <c r="GM55" s="51"/>
      <c r="GN55" s="51"/>
      <c r="GO55" s="51"/>
      <c r="GP55" s="51"/>
      <c r="GQ55" s="51"/>
      <c r="GR55" s="51"/>
      <c r="GS55" s="51"/>
      <c r="GT55" s="51"/>
      <c r="GU55" s="51"/>
      <c r="GV55" s="51"/>
      <c r="GW55" s="51"/>
      <c r="GX55" s="51"/>
      <c r="GY55" s="51"/>
      <c r="GZ55" s="52"/>
      <c r="HA55" s="52"/>
      <c r="HB55" s="52"/>
      <c r="HC55" s="52"/>
      <c r="HD55" s="52"/>
      <c r="HE55" s="52"/>
      <c r="HF55" s="52"/>
      <c r="HG55" s="52"/>
      <c r="HH55" s="52"/>
    </row>
    <row r="56" ht="20.25" customHeight="1">
      <c r="A56" s="49"/>
      <c r="B56" s="242" t="s">
        <v>51</v>
      </c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60"/>
      <c r="AX56" s="49"/>
      <c r="AY56" s="49"/>
      <c r="AZ56" s="49"/>
      <c r="BA56" s="49"/>
      <c r="BB56" s="49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51"/>
      <c r="EF56" s="51"/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51"/>
      <c r="ET56" s="51"/>
      <c r="EU56" s="51"/>
      <c r="EV56" s="51"/>
      <c r="EW56" s="51"/>
      <c r="EX56" s="51"/>
      <c r="EY56" s="51"/>
      <c r="EZ56" s="51"/>
      <c r="FA56" s="51"/>
      <c r="FB56" s="51"/>
      <c r="FC56" s="51"/>
      <c r="FD56" s="51"/>
      <c r="FE56" s="51"/>
      <c r="FF56" s="51"/>
      <c r="FG56" s="51"/>
      <c r="FH56" s="51"/>
      <c r="FI56" s="51"/>
      <c r="FJ56" s="51"/>
      <c r="FK56" s="51"/>
      <c r="FL56" s="51"/>
      <c r="FM56" s="51"/>
      <c r="FN56" s="51"/>
      <c r="FO56" s="51"/>
      <c r="FP56" s="51"/>
      <c r="FQ56" s="51"/>
      <c r="FR56" s="51"/>
      <c r="FS56" s="51"/>
      <c r="FT56" s="51"/>
      <c r="FU56" s="51"/>
      <c r="FV56" s="51"/>
      <c r="FW56" s="51"/>
      <c r="FX56" s="51"/>
      <c r="FY56" s="51"/>
      <c r="FZ56" s="51"/>
      <c r="GA56" s="51"/>
      <c r="GB56" s="51"/>
      <c r="GC56" s="51"/>
      <c r="GD56" s="51"/>
      <c r="GE56" s="51"/>
      <c r="GF56" s="51"/>
      <c r="GG56" s="51"/>
      <c r="GH56" s="51"/>
      <c r="GI56" s="51"/>
      <c r="GJ56" s="51"/>
      <c r="GK56" s="51"/>
      <c r="GL56" s="51"/>
      <c r="GM56" s="51"/>
      <c r="GN56" s="51"/>
      <c r="GO56" s="51"/>
      <c r="GP56" s="51"/>
      <c r="GQ56" s="51"/>
      <c r="GR56" s="51"/>
      <c r="GS56" s="51"/>
      <c r="GT56" s="51"/>
      <c r="GU56" s="51"/>
      <c r="GV56" s="51"/>
      <c r="GW56" s="51"/>
      <c r="GX56" s="51"/>
      <c r="GY56" s="51"/>
      <c r="GZ56" s="52"/>
      <c r="HA56" s="52"/>
      <c r="HB56" s="52"/>
      <c r="HC56" s="52"/>
      <c r="HD56" s="52"/>
      <c r="HE56" s="52"/>
      <c r="HF56" s="52"/>
      <c r="HG56" s="52"/>
      <c r="HH56" s="52"/>
    </row>
    <row r="57">
      <c r="A57" s="49"/>
      <c r="B57" s="243" t="s">
        <v>53</v>
      </c>
      <c r="C57" s="54"/>
      <c r="D57" s="54"/>
      <c r="E57" s="54"/>
      <c r="F57" s="54"/>
      <c r="G57" s="54"/>
      <c r="H57" s="54"/>
      <c r="I57" s="54"/>
      <c r="J57" s="54"/>
      <c r="K57" s="55"/>
      <c r="L57" s="244" t="s">
        <v>11</v>
      </c>
      <c r="M57" s="54"/>
      <c r="N57" s="54"/>
      <c r="O57" s="54"/>
      <c r="P57" s="54"/>
      <c r="Q57" s="54"/>
      <c r="R57" s="55"/>
      <c r="S57" s="245" t="s">
        <v>12</v>
      </c>
      <c r="T57" s="54"/>
      <c r="U57" s="54"/>
      <c r="V57" s="54"/>
      <c r="W57" s="54"/>
      <c r="X57" s="54"/>
      <c r="Y57" s="55"/>
      <c r="Z57" s="119" t="s">
        <v>13</v>
      </c>
      <c r="AA57" s="54"/>
      <c r="AB57" s="54"/>
      <c r="AC57" s="54"/>
      <c r="AD57" s="54"/>
      <c r="AE57" s="54"/>
      <c r="AF57" s="55"/>
      <c r="AG57" s="246" t="s">
        <v>14</v>
      </c>
      <c r="AH57" s="54"/>
      <c r="AI57" s="54"/>
      <c r="AJ57" s="54"/>
      <c r="AK57" s="54"/>
      <c r="AL57" s="54"/>
      <c r="AM57" s="55"/>
      <c r="AN57" s="121" t="str">
        <f>IF(AN29="","","WEEK 5")</f>
        <v>WEEK 5</v>
      </c>
      <c r="AO57" s="54"/>
      <c r="AP57" s="54"/>
      <c r="AQ57" s="54"/>
      <c r="AR57" s="54"/>
      <c r="AS57" s="54"/>
      <c r="AT57" s="55"/>
      <c r="AU57" s="243" t="s">
        <v>58</v>
      </c>
      <c r="AV57" s="54"/>
      <c r="AW57" s="55"/>
      <c r="AX57" s="49"/>
      <c r="AY57" s="49"/>
      <c r="AZ57" s="49"/>
      <c r="BA57" s="49"/>
      <c r="BB57" s="49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51"/>
      <c r="EB57" s="51"/>
      <c r="EC57" s="51"/>
      <c r="ED57" s="51"/>
      <c r="EE57" s="51"/>
      <c r="EF57" s="51"/>
      <c r="EG57" s="51"/>
      <c r="EH57" s="51"/>
      <c r="EI57" s="51"/>
      <c r="EJ57" s="51"/>
      <c r="EK57" s="51"/>
      <c r="EL57" s="51"/>
      <c r="EM57" s="51"/>
      <c r="EN57" s="51"/>
      <c r="EO57" s="51"/>
      <c r="EP57" s="51"/>
      <c r="EQ57" s="51"/>
      <c r="ER57" s="51"/>
      <c r="ES57" s="51"/>
      <c r="ET57" s="51"/>
      <c r="EU57" s="51"/>
      <c r="EV57" s="51"/>
      <c r="EW57" s="51"/>
      <c r="EX57" s="51"/>
      <c r="EY57" s="51"/>
      <c r="EZ57" s="51"/>
      <c r="FA57" s="51"/>
      <c r="FB57" s="51"/>
      <c r="FC57" s="51"/>
      <c r="FD57" s="51"/>
      <c r="FE57" s="51"/>
      <c r="FF57" s="51"/>
      <c r="FG57" s="51"/>
      <c r="FH57" s="51"/>
      <c r="FI57" s="51"/>
      <c r="FJ57" s="51"/>
      <c r="FK57" s="51"/>
      <c r="FL57" s="51"/>
      <c r="FM57" s="51"/>
      <c r="FN57" s="51"/>
      <c r="FO57" s="51"/>
      <c r="FP57" s="51"/>
      <c r="FQ57" s="51"/>
      <c r="FR57" s="51"/>
      <c r="FS57" s="51"/>
      <c r="FT57" s="51"/>
      <c r="FU57" s="51"/>
      <c r="FV57" s="51"/>
      <c r="FW57" s="51"/>
      <c r="FX57" s="51"/>
      <c r="FY57" s="51"/>
      <c r="FZ57" s="51"/>
      <c r="GA57" s="51"/>
      <c r="GB57" s="51"/>
      <c r="GC57" s="51"/>
      <c r="GD57" s="51"/>
      <c r="GE57" s="51"/>
      <c r="GF57" s="51"/>
      <c r="GG57" s="51"/>
      <c r="GH57" s="51"/>
      <c r="GI57" s="51"/>
      <c r="GJ57" s="51"/>
      <c r="GK57" s="51"/>
      <c r="GL57" s="51"/>
      <c r="GM57" s="51"/>
      <c r="GN57" s="51"/>
      <c r="GO57" s="51"/>
      <c r="GP57" s="51"/>
      <c r="GQ57" s="51"/>
      <c r="GR57" s="51"/>
      <c r="GS57" s="51"/>
      <c r="GT57" s="51"/>
      <c r="GU57" s="51"/>
      <c r="GV57" s="51"/>
      <c r="GW57" s="51"/>
      <c r="GX57" s="51"/>
      <c r="GY57" s="51"/>
      <c r="GZ57" s="52"/>
      <c r="HA57" s="52"/>
      <c r="HB57" s="52"/>
      <c r="HC57" s="52"/>
      <c r="HD57" s="52"/>
      <c r="HE57" s="52"/>
      <c r="HF57" s="52"/>
      <c r="HG57" s="52"/>
      <c r="HH57" s="52"/>
    </row>
    <row r="58">
      <c r="A58" s="49"/>
      <c r="B58" s="88"/>
      <c r="C58" s="86"/>
      <c r="D58" s="86"/>
      <c r="E58" s="86"/>
      <c r="F58" s="86"/>
      <c r="G58" s="86"/>
      <c r="H58" s="86"/>
      <c r="I58" s="86"/>
      <c r="J58" s="86"/>
      <c r="K58" s="87"/>
      <c r="L58" s="88"/>
      <c r="M58" s="86"/>
      <c r="N58" s="86"/>
      <c r="O58" s="86"/>
      <c r="P58" s="86"/>
      <c r="Q58" s="86"/>
      <c r="R58" s="87"/>
      <c r="S58" s="88"/>
      <c r="T58" s="86"/>
      <c r="U58" s="86"/>
      <c r="V58" s="86"/>
      <c r="W58" s="86"/>
      <c r="X58" s="86"/>
      <c r="Y58" s="87"/>
      <c r="Z58" s="88"/>
      <c r="AA58" s="86"/>
      <c r="AB58" s="86"/>
      <c r="AC58" s="86"/>
      <c r="AD58" s="86"/>
      <c r="AE58" s="86"/>
      <c r="AF58" s="87"/>
      <c r="AG58" s="88"/>
      <c r="AH58" s="86"/>
      <c r="AI58" s="86"/>
      <c r="AJ58" s="86"/>
      <c r="AK58" s="86"/>
      <c r="AL58" s="86"/>
      <c r="AM58" s="87"/>
      <c r="AN58" s="88"/>
      <c r="AO58" s="86"/>
      <c r="AP58" s="86"/>
      <c r="AQ58" s="86"/>
      <c r="AR58" s="86"/>
      <c r="AS58" s="86"/>
      <c r="AT58" s="87"/>
      <c r="AU58" s="88"/>
      <c r="AV58" s="86"/>
      <c r="AW58" s="87"/>
      <c r="AX58" s="49"/>
      <c r="AY58" s="49"/>
      <c r="AZ58" s="49"/>
      <c r="BA58" s="49"/>
      <c r="BB58" s="49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51"/>
      <c r="EB58" s="51"/>
      <c r="EC58" s="51"/>
      <c r="ED58" s="51"/>
      <c r="EE58" s="51"/>
      <c r="EF58" s="51"/>
      <c r="EG58" s="51"/>
      <c r="EH58" s="51"/>
      <c r="EI58" s="51"/>
      <c r="EJ58" s="51"/>
      <c r="EK58" s="51"/>
      <c r="EL58" s="51"/>
      <c r="EM58" s="51"/>
      <c r="EN58" s="51"/>
      <c r="EO58" s="51"/>
      <c r="EP58" s="51"/>
      <c r="EQ58" s="51"/>
      <c r="ER58" s="51"/>
      <c r="ES58" s="51"/>
      <c r="ET58" s="51"/>
      <c r="EU58" s="51"/>
      <c r="EV58" s="51"/>
      <c r="EW58" s="51"/>
      <c r="EX58" s="51"/>
      <c r="EY58" s="51"/>
      <c r="EZ58" s="51"/>
      <c r="FA58" s="51"/>
      <c r="FB58" s="51"/>
      <c r="FC58" s="51"/>
      <c r="FD58" s="51"/>
      <c r="FE58" s="51"/>
      <c r="FF58" s="51"/>
      <c r="FG58" s="51"/>
      <c r="FH58" s="51"/>
      <c r="FI58" s="51"/>
      <c r="FJ58" s="51"/>
      <c r="FK58" s="51"/>
      <c r="FL58" s="51"/>
      <c r="FM58" s="51"/>
      <c r="FN58" s="51"/>
      <c r="FO58" s="51"/>
      <c r="FP58" s="51"/>
      <c r="FQ58" s="51"/>
      <c r="FR58" s="51"/>
      <c r="FS58" s="51"/>
      <c r="FT58" s="51"/>
      <c r="FU58" s="51"/>
      <c r="FV58" s="51"/>
      <c r="FW58" s="51"/>
      <c r="FX58" s="51"/>
      <c r="FY58" s="51"/>
      <c r="FZ58" s="51"/>
      <c r="GA58" s="51"/>
      <c r="GB58" s="51"/>
      <c r="GC58" s="51"/>
      <c r="GD58" s="51"/>
      <c r="GE58" s="51"/>
      <c r="GF58" s="51"/>
      <c r="GG58" s="51"/>
      <c r="GH58" s="51"/>
      <c r="GI58" s="51"/>
      <c r="GJ58" s="51"/>
      <c r="GK58" s="51"/>
      <c r="GL58" s="51"/>
      <c r="GM58" s="51"/>
      <c r="GN58" s="51"/>
      <c r="GO58" s="51"/>
      <c r="GP58" s="51"/>
      <c r="GQ58" s="51"/>
      <c r="GR58" s="51"/>
      <c r="GS58" s="51"/>
      <c r="GT58" s="51"/>
      <c r="GU58" s="51"/>
      <c r="GV58" s="51"/>
      <c r="GW58" s="51"/>
      <c r="GX58" s="51"/>
      <c r="GY58" s="51"/>
      <c r="GZ58" s="52"/>
      <c r="HA58" s="52"/>
      <c r="HB58" s="52"/>
      <c r="HC58" s="52"/>
      <c r="HD58" s="52"/>
      <c r="HE58" s="52"/>
      <c r="HF58" s="52"/>
      <c r="HG58" s="52"/>
      <c r="HH58" s="52"/>
    </row>
    <row r="59">
      <c r="A59" s="162"/>
      <c r="B59" s="247" t="s">
        <v>11</v>
      </c>
      <c r="C59" s="248">
        <f>COUNTIF(R59:R78,TRUE)</f>
        <v>0</v>
      </c>
      <c r="D59" s="54"/>
      <c r="E59" s="54"/>
      <c r="F59" s="248">
        <f>COUNTA(L59:Q78)</f>
        <v>0</v>
      </c>
      <c r="G59" s="54"/>
      <c r="H59" s="54"/>
      <c r="I59" s="249" t="str">
        <f>IFERROR(C59/F59,"")</f>
        <v/>
      </c>
      <c r="J59" s="54"/>
      <c r="K59" s="55"/>
      <c r="L59" s="250"/>
      <c r="M59" s="251"/>
      <c r="N59" s="251"/>
      <c r="O59" s="251"/>
      <c r="P59" s="251"/>
      <c r="Q59" s="251"/>
      <c r="R59" s="252" t="b">
        <v>0</v>
      </c>
      <c r="S59" s="253"/>
      <c r="T59" s="251"/>
      <c r="U59" s="251"/>
      <c r="V59" s="251"/>
      <c r="W59" s="251"/>
      <c r="X59" s="251"/>
      <c r="Y59" s="254" t="b">
        <v>0</v>
      </c>
      <c r="Z59" s="255"/>
      <c r="AA59" s="251"/>
      <c r="AB59" s="251"/>
      <c r="AC59" s="251"/>
      <c r="AD59" s="251"/>
      <c r="AE59" s="251"/>
      <c r="AF59" s="256" t="b">
        <v>0</v>
      </c>
      <c r="AG59" s="163"/>
      <c r="AH59" s="164"/>
      <c r="AI59" s="164"/>
      <c r="AJ59" s="164"/>
      <c r="AK59" s="164"/>
      <c r="AL59" s="257"/>
      <c r="AM59" s="258" t="b">
        <v>0</v>
      </c>
      <c r="AN59" s="255"/>
      <c r="AO59" s="251"/>
      <c r="AP59" s="251"/>
      <c r="AQ59" s="251"/>
      <c r="AR59" s="251"/>
      <c r="AS59" s="251"/>
      <c r="AT59" s="259" t="b">
        <v>0</v>
      </c>
      <c r="AU59" s="260"/>
      <c r="AV59" s="93"/>
      <c r="AW59" s="95"/>
      <c r="AX59" s="49"/>
      <c r="AY59" s="49"/>
      <c r="AZ59" s="49"/>
      <c r="BA59" s="49"/>
      <c r="BB59" s="49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51"/>
      <c r="EB59" s="51"/>
      <c r="EC59" s="51"/>
      <c r="ED59" s="51"/>
      <c r="EE59" s="51"/>
      <c r="EF59" s="51"/>
      <c r="EG59" s="51"/>
      <c r="EH59" s="51"/>
      <c r="EI59" s="51"/>
      <c r="EJ59" s="51"/>
      <c r="EK59" s="51"/>
      <c r="EL59" s="51"/>
      <c r="EM59" s="51"/>
      <c r="EN59" s="51"/>
      <c r="EO59" s="51"/>
      <c r="EP59" s="51"/>
      <c r="EQ59" s="51"/>
      <c r="ER59" s="51"/>
      <c r="ES59" s="51"/>
      <c r="ET59" s="51"/>
      <c r="EU59" s="51"/>
      <c r="EV59" s="51"/>
      <c r="EW59" s="51"/>
      <c r="EX59" s="51"/>
      <c r="EY59" s="51"/>
      <c r="EZ59" s="51"/>
      <c r="FA59" s="51"/>
      <c r="FB59" s="51"/>
      <c r="FC59" s="51"/>
      <c r="FD59" s="51"/>
      <c r="FE59" s="51"/>
      <c r="FF59" s="51"/>
      <c r="FG59" s="51"/>
      <c r="FH59" s="51"/>
      <c r="FI59" s="51"/>
      <c r="FJ59" s="51"/>
      <c r="FK59" s="51"/>
      <c r="FL59" s="51"/>
      <c r="FM59" s="51"/>
      <c r="FN59" s="51"/>
      <c r="FO59" s="51"/>
      <c r="FP59" s="51"/>
      <c r="FQ59" s="51"/>
      <c r="FR59" s="51"/>
      <c r="FS59" s="51"/>
      <c r="FT59" s="51"/>
      <c r="FU59" s="51"/>
      <c r="FV59" s="51"/>
      <c r="FW59" s="51"/>
      <c r="FX59" s="51"/>
      <c r="FY59" s="51"/>
      <c r="FZ59" s="51"/>
      <c r="GA59" s="51"/>
      <c r="GB59" s="51"/>
      <c r="GC59" s="51"/>
      <c r="GD59" s="51"/>
      <c r="GE59" s="51"/>
      <c r="GF59" s="51"/>
      <c r="GG59" s="51"/>
      <c r="GH59" s="51"/>
      <c r="GI59" s="51"/>
      <c r="GJ59" s="51"/>
      <c r="GK59" s="51"/>
      <c r="GL59" s="51"/>
      <c r="GM59" s="51"/>
      <c r="GN59" s="51"/>
      <c r="GO59" s="51"/>
      <c r="GP59" s="51"/>
      <c r="GQ59" s="51"/>
      <c r="GR59" s="51"/>
      <c r="GS59" s="51"/>
      <c r="GT59" s="51"/>
      <c r="GU59" s="51"/>
      <c r="GV59" s="51"/>
      <c r="GW59" s="51"/>
      <c r="GX59" s="51"/>
      <c r="GY59" s="51"/>
      <c r="GZ59" s="52"/>
      <c r="HA59" s="52"/>
      <c r="HB59" s="52"/>
      <c r="HC59" s="52"/>
      <c r="HD59" s="52"/>
      <c r="HE59" s="52"/>
      <c r="HF59" s="52"/>
      <c r="HG59" s="52"/>
      <c r="HH59" s="52"/>
    </row>
    <row r="60">
      <c r="A60" s="162"/>
      <c r="B60" s="69"/>
      <c r="K60" s="70"/>
      <c r="L60" s="261"/>
      <c r="M60" s="164"/>
      <c r="N60" s="164"/>
      <c r="O60" s="164"/>
      <c r="P60" s="164"/>
      <c r="Q60" s="262"/>
      <c r="R60" s="166" t="b">
        <v>0</v>
      </c>
      <c r="S60" s="263"/>
      <c r="T60" s="164"/>
      <c r="U60" s="164"/>
      <c r="V60" s="164"/>
      <c r="W60" s="164"/>
      <c r="X60" s="262"/>
      <c r="Y60" s="264" t="b">
        <v>0</v>
      </c>
      <c r="Z60" s="163"/>
      <c r="AA60" s="164"/>
      <c r="AB60" s="164"/>
      <c r="AC60" s="164"/>
      <c r="AD60" s="164"/>
      <c r="AE60" s="262"/>
      <c r="AF60" s="265" t="b">
        <v>0</v>
      </c>
      <c r="AG60" s="163"/>
      <c r="AH60" s="164"/>
      <c r="AI60" s="164"/>
      <c r="AJ60" s="164"/>
      <c r="AK60" s="164"/>
      <c r="AL60" s="262"/>
      <c r="AM60" s="266" t="b">
        <v>0</v>
      </c>
      <c r="AN60" s="163"/>
      <c r="AO60" s="164"/>
      <c r="AP60" s="164"/>
      <c r="AQ60" s="164"/>
      <c r="AR60" s="164"/>
      <c r="AS60" s="262"/>
      <c r="AT60" s="267" t="b">
        <v>0</v>
      </c>
      <c r="AU60" s="268">
        <f>SUM(C59,C63,C67,C71,C75)</f>
        <v>0</v>
      </c>
      <c r="AW60" s="70"/>
      <c r="AX60" s="49"/>
      <c r="AY60" s="49"/>
      <c r="AZ60" s="49"/>
      <c r="BA60" s="49"/>
      <c r="BB60" s="49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51"/>
      <c r="EB60" s="51"/>
      <c r="EC60" s="51"/>
      <c r="ED60" s="51"/>
      <c r="EE60" s="51"/>
      <c r="EF60" s="51"/>
      <c r="EG60" s="51"/>
      <c r="EH60" s="51"/>
      <c r="EI60" s="51"/>
      <c r="EJ60" s="51"/>
      <c r="EK60" s="51"/>
      <c r="EL60" s="51"/>
      <c r="EM60" s="51"/>
      <c r="EN60" s="51"/>
      <c r="EO60" s="51"/>
      <c r="EP60" s="51"/>
      <c r="EQ60" s="51"/>
      <c r="ER60" s="51"/>
      <c r="ES60" s="51"/>
      <c r="ET60" s="51"/>
      <c r="EU60" s="51"/>
      <c r="EV60" s="51"/>
      <c r="EW60" s="51"/>
      <c r="EX60" s="51"/>
      <c r="EY60" s="51"/>
      <c r="EZ60" s="51"/>
      <c r="FA60" s="51"/>
      <c r="FB60" s="51"/>
      <c r="FC60" s="51"/>
      <c r="FD60" s="51"/>
      <c r="FE60" s="51"/>
      <c r="FF60" s="51"/>
      <c r="FG60" s="51"/>
      <c r="FH60" s="51"/>
      <c r="FI60" s="51"/>
      <c r="FJ60" s="51"/>
      <c r="FK60" s="51"/>
      <c r="FL60" s="51"/>
      <c r="FM60" s="51"/>
      <c r="FN60" s="51"/>
      <c r="FO60" s="51"/>
      <c r="FP60" s="51"/>
      <c r="FQ60" s="51"/>
      <c r="FR60" s="51"/>
      <c r="FS60" s="51"/>
      <c r="FT60" s="51"/>
      <c r="FU60" s="51"/>
      <c r="FV60" s="51"/>
      <c r="FW60" s="51"/>
      <c r="FX60" s="51"/>
      <c r="FY60" s="51"/>
      <c r="FZ60" s="51"/>
      <c r="GA60" s="51"/>
      <c r="GB60" s="51"/>
      <c r="GC60" s="51"/>
      <c r="GD60" s="51"/>
      <c r="GE60" s="51"/>
      <c r="GF60" s="51"/>
      <c r="GG60" s="51"/>
      <c r="GH60" s="51"/>
      <c r="GI60" s="51"/>
      <c r="GJ60" s="51"/>
      <c r="GK60" s="51"/>
      <c r="GL60" s="51"/>
      <c r="GM60" s="51"/>
      <c r="GN60" s="51"/>
      <c r="GO60" s="51"/>
      <c r="GP60" s="51"/>
      <c r="GQ60" s="51"/>
      <c r="GR60" s="51"/>
      <c r="GS60" s="51"/>
      <c r="GT60" s="51"/>
      <c r="GU60" s="51"/>
      <c r="GV60" s="51"/>
      <c r="GW60" s="51"/>
      <c r="GX60" s="51"/>
      <c r="GY60" s="51"/>
      <c r="GZ60" s="52"/>
      <c r="HA60" s="52"/>
      <c r="HB60" s="52"/>
      <c r="HC60" s="52"/>
      <c r="HD60" s="52"/>
      <c r="HE60" s="52"/>
      <c r="HF60" s="52"/>
      <c r="HG60" s="52"/>
      <c r="HH60" s="52"/>
    </row>
    <row r="61">
      <c r="A61" s="162"/>
      <c r="B61" s="69"/>
      <c r="C61" s="81" t="s">
        <v>17</v>
      </c>
      <c r="F61" s="81" t="s">
        <v>22</v>
      </c>
      <c r="K61" s="70"/>
      <c r="L61" s="261"/>
      <c r="M61" s="164"/>
      <c r="N61" s="164"/>
      <c r="O61" s="164"/>
      <c r="P61" s="164"/>
      <c r="Q61" s="262"/>
      <c r="R61" s="166" t="b">
        <v>0</v>
      </c>
      <c r="S61" s="263"/>
      <c r="T61" s="164"/>
      <c r="U61" s="164"/>
      <c r="V61" s="164"/>
      <c r="W61" s="164"/>
      <c r="X61" s="262"/>
      <c r="Y61" s="264" t="b">
        <v>0</v>
      </c>
      <c r="Z61" s="163"/>
      <c r="AA61" s="164"/>
      <c r="AB61" s="164"/>
      <c r="AC61" s="164"/>
      <c r="AD61" s="164"/>
      <c r="AE61" s="262"/>
      <c r="AF61" s="265" t="b">
        <v>0</v>
      </c>
      <c r="AG61" s="163"/>
      <c r="AH61" s="164"/>
      <c r="AI61" s="164"/>
      <c r="AJ61" s="164"/>
      <c r="AK61" s="164"/>
      <c r="AL61" s="262"/>
      <c r="AM61" s="269" t="b">
        <v>0</v>
      </c>
      <c r="AN61" s="163"/>
      <c r="AO61" s="164"/>
      <c r="AP61" s="164"/>
      <c r="AQ61" s="164"/>
      <c r="AR61" s="164"/>
      <c r="AS61" s="262"/>
      <c r="AT61" s="267" t="b">
        <v>0</v>
      </c>
      <c r="AU61" s="270"/>
      <c r="AW61" s="70"/>
      <c r="AX61" s="49"/>
      <c r="AY61" s="49"/>
      <c r="AZ61" s="49"/>
      <c r="BA61" s="49"/>
      <c r="BB61" s="49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51"/>
      <c r="EF61" s="51"/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51"/>
      <c r="ET61" s="51"/>
      <c r="EU61" s="51"/>
      <c r="EV61" s="51"/>
      <c r="EW61" s="51"/>
      <c r="EX61" s="51"/>
      <c r="EY61" s="51"/>
      <c r="EZ61" s="51"/>
      <c r="FA61" s="51"/>
      <c r="FB61" s="51"/>
      <c r="FC61" s="51"/>
      <c r="FD61" s="51"/>
      <c r="FE61" s="51"/>
      <c r="FF61" s="51"/>
      <c r="FG61" s="51"/>
      <c r="FH61" s="51"/>
      <c r="FI61" s="51"/>
      <c r="FJ61" s="51"/>
      <c r="FK61" s="51"/>
      <c r="FL61" s="51"/>
      <c r="FM61" s="51"/>
      <c r="FN61" s="51"/>
      <c r="FO61" s="51"/>
      <c r="FP61" s="51"/>
      <c r="FQ61" s="51"/>
      <c r="FR61" s="51"/>
      <c r="FS61" s="51"/>
      <c r="FT61" s="51"/>
      <c r="FU61" s="51"/>
      <c r="FV61" s="51"/>
      <c r="FW61" s="51"/>
      <c r="FX61" s="51"/>
      <c r="FY61" s="51"/>
      <c r="FZ61" s="51"/>
      <c r="GA61" s="51"/>
      <c r="GB61" s="51"/>
      <c r="GC61" s="51"/>
      <c r="GD61" s="51"/>
      <c r="GE61" s="51"/>
      <c r="GF61" s="51"/>
      <c r="GG61" s="51"/>
      <c r="GH61" s="51"/>
      <c r="GI61" s="51"/>
      <c r="GJ61" s="51"/>
      <c r="GK61" s="51"/>
      <c r="GL61" s="51"/>
      <c r="GM61" s="51"/>
      <c r="GN61" s="51"/>
      <c r="GO61" s="51"/>
      <c r="GP61" s="51"/>
      <c r="GQ61" s="51"/>
      <c r="GR61" s="51"/>
      <c r="GS61" s="51"/>
      <c r="GT61" s="51"/>
      <c r="GU61" s="51"/>
      <c r="GV61" s="51"/>
      <c r="GW61" s="51"/>
      <c r="GX61" s="51"/>
      <c r="GY61" s="51"/>
      <c r="GZ61" s="52"/>
      <c r="HA61" s="52"/>
      <c r="HB61" s="52"/>
      <c r="HC61" s="52"/>
      <c r="HD61" s="52"/>
      <c r="HE61" s="52"/>
      <c r="HF61" s="52"/>
      <c r="HG61" s="52"/>
      <c r="HH61" s="52"/>
    </row>
    <row r="62">
      <c r="A62" s="162"/>
      <c r="B62" s="271"/>
      <c r="C62" s="272"/>
      <c r="D62" s="272"/>
      <c r="E62" s="272"/>
      <c r="F62" s="272"/>
      <c r="G62" s="272"/>
      <c r="H62" s="272"/>
      <c r="I62" s="272"/>
      <c r="J62" s="272"/>
      <c r="K62" s="273"/>
      <c r="L62" s="261"/>
      <c r="M62" s="164"/>
      <c r="N62" s="164"/>
      <c r="O62" s="164"/>
      <c r="P62" s="164"/>
      <c r="Q62" s="262"/>
      <c r="R62" s="166" t="b">
        <v>0</v>
      </c>
      <c r="S62" s="263"/>
      <c r="T62" s="164"/>
      <c r="U62" s="164"/>
      <c r="V62" s="164"/>
      <c r="W62" s="164"/>
      <c r="X62" s="262"/>
      <c r="Y62" s="264" t="b">
        <v>0</v>
      </c>
      <c r="Z62" s="163"/>
      <c r="AA62" s="164"/>
      <c r="AB62" s="164"/>
      <c r="AC62" s="164"/>
      <c r="AD62" s="164"/>
      <c r="AE62" s="262"/>
      <c r="AF62" s="265" t="b">
        <v>0</v>
      </c>
      <c r="AG62" s="163"/>
      <c r="AH62" s="164"/>
      <c r="AI62" s="164"/>
      <c r="AJ62" s="164"/>
      <c r="AK62" s="164"/>
      <c r="AL62" s="262"/>
      <c r="AM62" s="266" t="b">
        <v>0</v>
      </c>
      <c r="AN62" s="163"/>
      <c r="AO62" s="164"/>
      <c r="AP62" s="164"/>
      <c r="AQ62" s="164"/>
      <c r="AR62" s="164"/>
      <c r="AS62" s="262"/>
      <c r="AT62" s="267" t="b">
        <v>0</v>
      </c>
      <c r="AU62" s="270"/>
      <c r="AW62" s="70"/>
      <c r="AX62" s="49"/>
      <c r="AY62" s="49"/>
      <c r="AZ62" s="49"/>
      <c r="BA62" s="49"/>
      <c r="BB62" s="49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51"/>
      <c r="EF62" s="51"/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51"/>
      <c r="FF62" s="51"/>
      <c r="FG62" s="51"/>
      <c r="FH62" s="51"/>
      <c r="FI62" s="51"/>
      <c r="FJ62" s="51"/>
      <c r="FK62" s="51"/>
      <c r="FL62" s="51"/>
      <c r="FM62" s="51"/>
      <c r="FN62" s="51"/>
      <c r="FO62" s="51"/>
      <c r="FP62" s="51"/>
      <c r="FQ62" s="51"/>
      <c r="FR62" s="51"/>
      <c r="FS62" s="51"/>
      <c r="FT62" s="51"/>
      <c r="FU62" s="51"/>
      <c r="FV62" s="51"/>
      <c r="FW62" s="51"/>
      <c r="FX62" s="51"/>
      <c r="FY62" s="51"/>
      <c r="FZ62" s="51"/>
      <c r="GA62" s="51"/>
      <c r="GB62" s="51"/>
      <c r="GC62" s="51"/>
      <c r="GD62" s="51"/>
      <c r="GE62" s="51"/>
      <c r="GF62" s="51"/>
      <c r="GG62" s="51"/>
      <c r="GH62" s="51"/>
      <c r="GI62" s="51"/>
      <c r="GJ62" s="51"/>
      <c r="GK62" s="51"/>
      <c r="GL62" s="51"/>
      <c r="GM62" s="51"/>
      <c r="GN62" s="51"/>
      <c r="GO62" s="51"/>
      <c r="GP62" s="51"/>
      <c r="GQ62" s="51"/>
      <c r="GR62" s="51"/>
      <c r="GS62" s="51"/>
      <c r="GT62" s="51"/>
      <c r="GU62" s="51"/>
      <c r="GV62" s="51"/>
      <c r="GW62" s="51"/>
      <c r="GX62" s="51"/>
      <c r="GY62" s="51"/>
      <c r="GZ62" s="52"/>
      <c r="HA62" s="52"/>
      <c r="HB62" s="52"/>
      <c r="HC62" s="52"/>
      <c r="HD62" s="52"/>
      <c r="HE62" s="52"/>
      <c r="HF62" s="52"/>
      <c r="HG62" s="52"/>
      <c r="HH62" s="52"/>
    </row>
    <row r="63">
      <c r="A63" s="162"/>
      <c r="B63" s="247" t="s">
        <v>12</v>
      </c>
      <c r="C63" s="274">
        <f>COUNTIF(Y59:Y78,TRUE)</f>
        <v>0</v>
      </c>
      <c r="D63" s="54"/>
      <c r="E63" s="54"/>
      <c r="F63" s="274">
        <f>COUNTA(S59:X78)</f>
        <v>0</v>
      </c>
      <c r="G63" s="54"/>
      <c r="H63" s="54"/>
      <c r="I63" s="275" t="str">
        <f>IFERROR(C63/F63,"")</f>
        <v/>
      </c>
      <c r="J63" s="54"/>
      <c r="K63" s="55"/>
      <c r="L63" s="250"/>
      <c r="M63" s="251"/>
      <c r="N63" s="251"/>
      <c r="O63" s="251"/>
      <c r="P63" s="251"/>
      <c r="Q63" s="251"/>
      <c r="R63" s="166" t="b">
        <v>0</v>
      </c>
      <c r="S63" s="263"/>
      <c r="T63" s="164"/>
      <c r="U63" s="164"/>
      <c r="V63" s="164"/>
      <c r="W63" s="164"/>
      <c r="X63" s="262"/>
      <c r="Y63" s="264" t="b">
        <v>0</v>
      </c>
      <c r="Z63" s="163"/>
      <c r="AA63" s="164"/>
      <c r="AB63" s="164"/>
      <c r="AC63" s="164"/>
      <c r="AD63" s="164"/>
      <c r="AE63" s="262"/>
      <c r="AF63" s="265" t="b">
        <v>0</v>
      </c>
      <c r="AG63" s="163"/>
      <c r="AH63" s="164"/>
      <c r="AI63" s="164"/>
      <c r="AJ63" s="164"/>
      <c r="AK63" s="164"/>
      <c r="AL63" s="262"/>
      <c r="AM63" s="266" t="b">
        <v>0</v>
      </c>
      <c r="AN63" s="163"/>
      <c r="AO63" s="164"/>
      <c r="AP63" s="164"/>
      <c r="AQ63" s="164"/>
      <c r="AR63" s="164"/>
      <c r="AS63" s="262"/>
      <c r="AT63" s="267" t="b">
        <v>0</v>
      </c>
      <c r="AU63" s="276" t="s">
        <v>17</v>
      </c>
      <c r="AW63" s="70"/>
      <c r="AX63" s="49"/>
      <c r="AY63" s="49"/>
      <c r="AZ63" s="49"/>
      <c r="BA63" s="49"/>
      <c r="BB63" s="49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51"/>
      <c r="EF63" s="51"/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51"/>
      <c r="ET63" s="51"/>
      <c r="EU63" s="51"/>
      <c r="EV63" s="51"/>
      <c r="EW63" s="51"/>
      <c r="EX63" s="51"/>
      <c r="EY63" s="51"/>
      <c r="EZ63" s="51"/>
      <c r="FA63" s="51"/>
      <c r="FB63" s="51"/>
      <c r="FC63" s="51"/>
      <c r="FD63" s="51"/>
      <c r="FE63" s="51"/>
      <c r="FF63" s="51"/>
      <c r="FG63" s="51"/>
      <c r="FH63" s="51"/>
      <c r="FI63" s="51"/>
      <c r="FJ63" s="51"/>
      <c r="FK63" s="51"/>
      <c r="FL63" s="51"/>
      <c r="FM63" s="51"/>
      <c r="FN63" s="51"/>
      <c r="FO63" s="51"/>
      <c r="FP63" s="51"/>
      <c r="FQ63" s="51"/>
      <c r="FR63" s="51"/>
      <c r="FS63" s="51"/>
      <c r="FT63" s="51"/>
      <c r="FU63" s="51"/>
      <c r="FV63" s="51"/>
      <c r="FW63" s="51"/>
      <c r="FX63" s="51"/>
      <c r="FY63" s="51"/>
      <c r="FZ63" s="51"/>
      <c r="GA63" s="51"/>
      <c r="GB63" s="51"/>
      <c r="GC63" s="51"/>
      <c r="GD63" s="51"/>
      <c r="GE63" s="51"/>
      <c r="GF63" s="51"/>
      <c r="GG63" s="51"/>
      <c r="GH63" s="51"/>
      <c r="GI63" s="51"/>
      <c r="GJ63" s="51"/>
      <c r="GK63" s="51"/>
      <c r="GL63" s="51"/>
      <c r="GM63" s="51"/>
      <c r="GN63" s="51"/>
      <c r="GO63" s="51"/>
      <c r="GP63" s="51"/>
      <c r="GQ63" s="51"/>
      <c r="GR63" s="51"/>
      <c r="GS63" s="51"/>
      <c r="GT63" s="51"/>
      <c r="GU63" s="51"/>
      <c r="GV63" s="51"/>
      <c r="GW63" s="51"/>
      <c r="GX63" s="51"/>
      <c r="GY63" s="51"/>
      <c r="GZ63" s="52"/>
      <c r="HA63" s="52"/>
      <c r="HB63" s="52"/>
      <c r="HC63" s="52"/>
      <c r="HD63" s="52"/>
      <c r="HE63" s="52"/>
      <c r="HF63" s="52"/>
      <c r="HG63" s="52"/>
      <c r="HH63" s="52"/>
    </row>
    <row r="64">
      <c r="A64" s="162"/>
      <c r="B64" s="69"/>
      <c r="K64" s="70"/>
      <c r="L64" s="261"/>
      <c r="M64" s="164"/>
      <c r="N64" s="164"/>
      <c r="O64" s="164"/>
      <c r="P64" s="164"/>
      <c r="Q64" s="262"/>
      <c r="R64" s="166" t="b">
        <v>0</v>
      </c>
      <c r="S64" s="263"/>
      <c r="T64" s="164"/>
      <c r="U64" s="164"/>
      <c r="V64" s="164"/>
      <c r="W64" s="164"/>
      <c r="X64" s="262"/>
      <c r="Y64" s="264" t="b">
        <v>0</v>
      </c>
      <c r="Z64" s="163"/>
      <c r="AA64" s="164"/>
      <c r="AB64" s="164"/>
      <c r="AC64" s="164"/>
      <c r="AD64" s="164"/>
      <c r="AE64" s="262"/>
      <c r="AF64" s="277" t="b">
        <v>0</v>
      </c>
      <c r="AG64" s="163"/>
      <c r="AH64" s="164"/>
      <c r="AI64" s="164"/>
      <c r="AJ64" s="164"/>
      <c r="AK64" s="164"/>
      <c r="AL64" s="262"/>
      <c r="AM64" s="266" t="b">
        <v>0</v>
      </c>
      <c r="AN64" s="163"/>
      <c r="AO64" s="164"/>
      <c r="AP64" s="164"/>
      <c r="AQ64" s="164"/>
      <c r="AR64" s="164"/>
      <c r="AS64" s="262"/>
      <c r="AT64" s="267" t="b">
        <v>0</v>
      </c>
      <c r="AU64" s="270"/>
      <c r="AW64" s="70"/>
      <c r="AX64" s="49"/>
      <c r="AY64" s="49"/>
      <c r="AZ64" s="49"/>
      <c r="BA64" s="49"/>
      <c r="BB64" s="49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51"/>
      <c r="EF64" s="51"/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51"/>
      <c r="ET64" s="51"/>
      <c r="EU64" s="51"/>
      <c r="EV64" s="51"/>
      <c r="EW64" s="51"/>
      <c r="EX64" s="51"/>
      <c r="EY64" s="51"/>
      <c r="EZ64" s="51"/>
      <c r="FA64" s="51"/>
      <c r="FB64" s="51"/>
      <c r="FC64" s="51"/>
      <c r="FD64" s="51"/>
      <c r="FE64" s="51"/>
      <c r="FF64" s="51"/>
      <c r="FG64" s="51"/>
      <c r="FH64" s="51"/>
      <c r="FI64" s="51"/>
      <c r="FJ64" s="51"/>
      <c r="FK64" s="51"/>
      <c r="FL64" s="51"/>
      <c r="FM64" s="51"/>
      <c r="FN64" s="51"/>
      <c r="FO64" s="51"/>
      <c r="FP64" s="51"/>
      <c r="FQ64" s="51"/>
      <c r="FR64" s="51"/>
      <c r="FS64" s="51"/>
      <c r="FT64" s="51"/>
      <c r="FU64" s="51"/>
      <c r="FV64" s="51"/>
      <c r="FW64" s="51"/>
      <c r="FX64" s="51"/>
      <c r="FY64" s="51"/>
      <c r="FZ64" s="51"/>
      <c r="GA64" s="51"/>
      <c r="GB64" s="51"/>
      <c r="GC64" s="51"/>
      <c r="GD64" s="51"/>
      <c r="GE64" s="51"/>
      <c r="GF64" s="51"/>
      <c r="GG64" s="51"/>
      <c r="GH64" s="51"/>
      <c r="GI64" s="51"/>
      <c r="GJ64" s="51"/>
      <c r="GK64" s="51"/>
      <c r="GL64" s="51"/>
      <c r="GM64" s="51"/>
      <c r="GN64" s="51"/>
      <c r="GO64" s="51"/>
      <c r="GP64" s="51"/>
      <c r="GQ64" s="51"/>
      <c r="GR64" s="51"/>
      <c r="GS64" s="51"/>
      <c r="GT64" s="51"/>
      <c r="GU64" s="51"/>
      <c r="GV64" s="51"/>
      <c r="GW64" s="51"/>
      <c r="GX64" s="51"/>
      <c r="GY64" s="51"/>
      <c r="GZ64" s="52"/>
      <c r="HA64" s="52"/>
      <c r="HB64" s="52"/>
      <c r="HC64" s="52"/>
      <c r="HD64" s="52"/>
      <c r="HE64" s="52"/>
      <c r="HF64" s="52"/>
      <c r="HG64" s="52"/>
      <c r="HH64" s="52"/>
    </row>
    <row r="65">
      <c r="A65" s="162"/>
      <c r="B65" s="69"/>
      <c r="C65" s="81" t="s">
        <v>17</v>
      </c>
      <c r="F65" s="81" t="s">
        <v>22</v>
      </c>
      <c r="K65" s="70"/>
      <c r="L65" s="261"/>
      <c r="M65" s="164"/>
      <c r="N65" s="164"/>
      <c r="O65" s="164"/>
      <c r="P65" s="164"/>
      <c r="Q65" s="262"/>
      <c r="R65" s="166" t="b">
        <v>0</v>
      </c>
      <c r="S65" s="263"/>
      <c r="T65" s="164"/>
      <c r="U65" s="164"/>
      <c r="V65" s="164"/>
      <c r="W65" s="164"/>
      <c r="X65" s="262"/>
      <c r="Y65" s="264" t="b">
        <v>0</v>
      </c>
      <c r="Z65" s="163"/>
      <c r="AA65" s="164"/>
      <c r="AB65" s="164"/>
      <c r="AC65" s="164"/>
      <c r="AD65" s="164"/>
      <c r="AE65" s="262"/>
      <c r="AF65" s="265" t="b">
        <v>0</v>
      </c>
      <c r="AG65" s="163"/>
      <c r="AH65" s="164"/>
      <c r="AI65" s="164"/>
      <c r="AJ65" s="164"/>
      <c r="AK65" s="164"/>
      <c r="AL65" s="262"/>
      <c r="AM65" s="266" t="b">
        <v>0</v>
      </c>
      <c r="AN65" s="163"/>
      <c r="AO65" s="164"/>
      <c r="AP65" s="164"/>
      <c r="AQ65" s="164"/>
      <c r="AR65" s="164"/>
      <c r="AS65" s="262"/>
      <c r="AT65" s="267" t="b">
        <v>0</v>
      </c>
      <c r="AU65" s="270"/>
      <c r="AW65" s="70"/>
      <c r="AX65" s="49"/>
      <c r="AY65" s="49"/>
      <c r="AZ65" s="49"/>
      <c r="BA65" s="49"/>
      <c r="BB65" s="49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51"/>
      <c r="EF65" s="51"/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51"/>
      <c r="ET65" s="51"/>
      <c r="EU65" s="51"/>
      <c r="EV65" s="51"/>
      <c r="EW65" s="51"/>
      <c r="EX65" s="51"/>
      <c r="EY65" s="51"/>
      <c r="EZ65" s="51"/>
      <c r="FA65" s="51"/>
      <c r="FB65" s="51"/>
      <c r="FC65" s="51"/>
      <c r="FD65" s="51"/>
      <c r="FE65" s="51"/>
      <c r="FF65" s="51"/>
      <c r="FG65" s="51"/>
      <c r="FH65" s="51"/>
      <c r="FI65" s="51"/>
      <c r="FJ65" s="51"/>
      <c r="FK65" s="51"/>
      <c r="FL65" s="51"/>
      <c r="FM65" s="51"/>
      <c r="FN65" s="51"/>
      <c r="FO65" s="51"/>
      <c r="FP65" s="51"/>
      <c r="FQ65" s="51"/>
      <c r="FR65" s="51"/>
      <c r="FS65" s="51"/>
      <c r="FT65" s="51"/>
      <c r="FU65" s="51"/>
      <c r="FV65" s="51"/>
      <c r="FW65" s="51"/>
      <c r="FX65" s="51"/>
      <c r="FY65" s="51"/>
      <c r="FZ65" s="51"/>
      <c r="GA65" s="51"/>
      <c r="GB65" s="51"/>
      <c r="GC65" s="51"/>
      <c r="GD65" s="51"/>
      <c r="GE65" s="51"/>
      <c r="GF65" s="51"/>
      <c r="GG65" s="51"/>
      <c r="GH65" s="51"/>
      <c r="GI65" s="51"/>
      <c r="GJ65" s="51"/>
      <c r="GK65" s="51"/>
      <c r="GL65" s="51"/>
      <c r="GM65" s="51"/>
      <c r="GN65" s="51"/>
      <c r="GO65" s="51"/>
      <c r="GP65" s="51"/>
      <c r="GQ65" s="51"/>
      <c r="GR65" s="51"/>
      <c r="GS65" s="51"/>
      <c r="GT65" s="51"/>
      <c r="GU65" s="51"/>
      <c r="GV65" s="51"/>
      <c r="GW65" s="51"/>
      <c r="GX65" s="51"/>
      <c r="GY65" s="51"/>
      <c r="GZ65" s="52"/>
      <c r="HA65" s="52"/>
      <c r="HB65" s="52"/>
      <c r="HC65" s="52"/>
      <c r="HD65" s="52"/>
      <c r="HE65" s="52"/>
      <c r="HF65" s="52"/>
      <c r="HG65" s="52"/>
      <c r="HH65" s="52"/>
    </row>
    <row r="66">
      <c r="A66" s="162"/>
      <c r="B66" s="271"/>
      <c r="C66" s="272"/>
      <c r="D66" s="272"/>
      <c r="E66" s="272"/>
      <c r="F66" s="272"/>
      <c r="G66" s="272"/>
      <c r="H66" s="272"/>
      <c r="I66" s="272"/>
      <c r="J66" s="272"/>
      <c r="K66" s="273"/>
      <c r="L66" s="261"/>
      <c r="M66" s="164"/>
      <c r="N66" s="164"/>
      <c r="O66" s="164"/>
      <c r="P66" s="164"/>
      <c r="Q66" s="262"/>
      <c r="R66" s="166" t="b">
        <v>0</v>
      </c>
      <c r="S66" s="263"/>
      <c r="T66" s="164"/>
      <c r="U66" s="164"/>
      <c r="V66" s="164"/>
      <c r="W66" s="164"/>
      <c r="X66" s="262"/>
      <c r="Y66" s="264" t="b">
        <v>0</v>
      </c>
      <c r="Z66" s="163"/>
      <c r="AA66" s="164"/>
      <c r="AB66" s="164"/>
      <c r="AC66" s="164"/>
      <c r="AD66" s="164"/>
      <c r="AE66" s="262"/>
      <c r="AF66" s="265" t="b">
        <v>0</v>
      </c>
      <c r="AG66" s="163"/>
      <c r="AH66" s="164"/>
      <c r="AI66" s="164"/>
      <c r="AJ66" s="164"/>
      <c r="AK66" s="164"/>
      <c r="AL66" s="262"/>
      <c r="AM66" s="269" t="b">
        <v>0</v>
      </c>
      <c r="AN66" s="163"/>
      <c r="AO66" s="164"/>
      <c r="AP66" s="164"/>
      <c r="AQ66" s="164"/>
      <c r="AR66" s="164"/>
      <c r="AS66" s="262"/>
      <c r="AT66" s="267" t="b">
        <v>0</v>
      </c>
      <c r="AU66" s="268">
        <f>SUM(F59,F63,F67,F71,F75)</f>
        <v>0</v>
      </c>
      <c r="AW66" s="70"/>
      <c r="AX66" s="49"/>
      <c r="AY66" s="49"/>
      <c r="AZ66" s="49"/>
      <c r="BA66" s="49"/>
      <c r="BB66" s="49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51"/>
      <c r="EF66" s="51"/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51"/>
      <c r="ET66" s="51"/>
      <c r="EU66" s="51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51"/>
      <c r="FH66" s="51"/>
      <c r="FI66" s="51"/>
      <c r="FJ66" s="51"/>
      <c r="FK66" s="51"/>
      <c r="FL66" s="51"/>
      <c r="FM66" s="51"/>
      <c r="FN66" s="51"/>
      <c r="FO66" s="51"/>
      <c r="FP66" s="51"/>
      <c r="FQ66" s="51"/>
      <c r="FR66" s="51"/>
      <c r="FS66" s="51"/>
      <c r="FT66" s="51"/>
      <c r="FU66" s="51"/>
      <c r="FV66" s="51"/>
      <c r="FW66" s="51"/>
      <c r="FX66" s="51"/>
      <c r="FY66" s="51"/>
      <c r="FZ66" s="51"/>
      <c r="GA66" s="51"/>
      <c r="GB66" s="51"/>
      <c r="GC66" s="51"/>
      <c r="GD66" s="51"/>
      <c r="GE66" s="51"/>
      <c r="GF66" s="51"/>
      <c r="GG66" s="51"/>
      <c r="GH66" s="51"/>
      <c r="GI66" s="51"/>
      <c r="GJ66" s="51"/>
      <c r="GK66" s="51"/>
      <c r="GL66" s="51"/>
      <c r="GM66" s="51"/>
      <c r="GN66" s="51"/>
      <c r="GO66" s="51"/>
      <c r="GP66" s="51"/>
      <c r="GQ66" s="51"/>
      <c r="GR66" s="51"/>
      <c r="GS66" s="51"/>
      <c r="GT66" s="51"/>
      <c r="GU66" s="51"/>
      <c r="GV66" s="51"/>
      <c r="GW66" s="51"/>
      <c r="GX66" s="51"/>
      <c r="GY66" s="51"/>
      <c r="GZ66" s="52"/>
      <c r="HA66" s="52"/>
      <c r="HB66" s="52"/>
      <c r="HC66" s="52"/>
      <c r="HD66" s="52"/>
      <c r="HE66" s="52"/>
      <c r="HF66" s="52"/>
      <c r="HG66" s="52"/>
      <c r="HH66" s="52"/>
    </row>
    <row r="67">
      <c r="A67" s="162"/>
      <c r="B67" s="247" t="s">
        <v>13</v>
      </c>
      <c r="C67" s="278">
        <f>COUNTIF(AF59:AF78,TRUE)</f>
        <v>0</v>
      </c>
      <c r="D67" s="54"/>
      <c r="E67" s="54"/>
      <c r="F67" s="278">
        <f>COUNTA(Z59:AE78)</f>
        <v>0</v>
      </c>
      <c r="G67" s="54"/>
      <c r="H67" s="54"/>
      <c r="I67" s="279" t="str">
        <f>IFERROR(C67/F67,"")</f>
        <v/>
      </c>
      <c r="J67" s="54"/>
      <c r="K67" s="55"/>
      <c r="L67" s="250"/>
      <c r="M67" s="251"/>
      <c r="N67" s="251"/>
      <c r="O67" s="251"/>
      <c r="P67" s="251"/>
      <c r="Q67" s="251"/>
      <c r="R67" s="166" t="b">
        <v>0</v>
      </c>
      <c r="S67" s="263"/>
      <c r="T67" s="164"/>
      <c r="U67" s="164"/>
      <c r="V67" s="164"/>
      <c r="W67" s="164"/>
      <c r="X67" s="262"/>
      <c r="Y67" s="264" t="b">
        <v>0</v>
      </c>
      <c r="Z67" s="163"/>
      <c r="AA67" s="164"/>
      <c r="AB67" s="164"/>
      <c r="AC67" s="164"/>
      <c r="AD67" s="164"/>
      <c r="AE67" s="262"/>
      <c r="AF67" s="265" t="b">
        <v>0</v>
      </c>
      <c r="AG67" s="163"/>
      <c r="AH67" s="164"/>
      <c r="AI67" s="164"/>
      <c r="AJ67" s="164"/>
      <c r="AK67" s="164"/>
      <c r="AL67" s="262"/>
      <c r="AM67" s="269" t="b">
        <v>0</v>
      </c>
      <c r="AN67" s="163"/>
      <c r="AO67" s="164"/>
      <c r="AP67" s="164"/>
      <c r="AQ67" s="164"/>
      <c r="AR67" s="164"/>
      <c r="AS67" s="262"/>
      <c r="AT67" s="267" t="b">
        <v>0</v>
      </c>
      <c r="AU67" s="270"/>
      <c r="AW67" s="70"/>
      <c r="AX67" s="49"/>
      <c r="AY67" s="49"/>
      <c r="AZ67" s="49"/>
      <c r="BA67" s="49"/>
      <c r="BB67" s="49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1"/>
      <c r="FJ67" s="51"/>
      <c r="FK67" s="51"/>
      <c r="FL67" s="51"/>
      <c r="FM67" s="51"/>
      <c r="FN67" s="51"/>
      <c r="FO67" s="51"/>
      <c r="FP67" s="51"/>
      <c r="FQ67" s="51"/>
      <c r="FR67" s="51"/>
      <c r="FS67" s="51"/>
      <c r="FT67" s="51"/>
      <c r="FU67" s="51"/>
      <c r="FV67" s="51"/>
      <c r="FW67" s="51"/>
      <c r="FX67" s="51"/>
      <c r="FY67" s="51"/>
      <c r="FZ67" s="51"/>
      <c r="GA67" s="51"/>
      <c r="GB67" s="51"/>
      <c r="GC67" s="51"/>
      <c r="GD67" s="51"/>
      <c r="GE67" s="51"/>
      <c r="GF67" s="51"/>
      <c r="GG67" s="51"/>
      <c r="GH67" s="51"/>
      <c r="GI67" s="51"/>
      <c r="GJ67" s="51"/>
      <c r="GK67" s="51"/>
      <c r="GL67" s="51"/>
      <c r="GM67" s="51"/>
      <c r="GN67" s="51"/>
      <c r="GO67" s="51"/>
      <c r="GP67" s="51"/>
      <c r="GQ67" s="51"/>
      <c r="GR67" s="51"/>
      <c r="GS67" s="51"/>
      <c r="GT67" s="51"/>
      <c r="GU67" s="51"/>
      <c r="GV67" s="51"/>
      <c r="GW67" s="51"/>
      <c r="GX67" s="51"/>
      <c r="GY67" s="51"/>
      <c r="GZ67" s="52"/>
      <c r="HA67" s="52"/>
      <c r="HB67" s="52"/>
      <c r="HC67" s="52"/>
      <c r="HD67" s="52"/>
      <c r="HE67" s="52"/>
      <c r="HF67" s="52"/>
      <c r="HG67" s="52"/>
      <c r="HH67" s="52"/>
    </row>
    <row r="68">
      <c r="A68" s="162"/>
      <c r="B68" s="69"/>
      <c r="K68" s="70"/>
      <c r="L68" s="261"/>
      <c r="M68" s="164"/>
      <c r="N68" s="164"/>
      <c r="O68" s="164"/>
      <c r="P68" s="164"/>
      <c r="Q68" s="262"/>
      <c r="R68" s="166" t="b">
        <v>0</v>
      </c>
      <c r="S68" s="263"/>
      <c r="T68" s="164"/>
      <c r="U68" s="164"/>
      <c r="V68" s="164"/>
      <c r="W68" s="164"/>
      <c r="X68" s="262"/>
      <c r="Y68" s="264" t="b">
        <v>0</v>
      </c>
      <c r="Z68" s="163"/>
      <c r="AA68" s="164"/>
      <c r="AB68" s="164"/>
      <c r="AC68" s="164"/>
      <c r="AD68" s="164"/>
      <c r="AE68" s="262"/>
      <c r="AF68" s="280" t="b">
        <v>0</v>
      </c>
      <c r="AG68" s="163"/>
      <c r="AH68" s="164"/>
      <c r="AI68" s="164"/>
      <c r="AJ68" s="164"/>
      <c r="AK68" s="164"/>
      <c r="AL68" s="262"/>
      <c r="AM68" s="266" t="b">
        <v>0</v>
      </c>
      <c r="AN68" s="163"/>
      <c r="AO68" s="164"/>
      <c r="AP68" s="164"/>
      <c r="AQ68" s="164"/>
      <c r="AR68" s="164"/>
      <c r="AS68" s="262"/>
      <c r="AT68" s="267" t="b">
        <v>0</v>
      </c>
      <c r="AU68" s="270"/>
      <c r="AW68" s="70"/>
      <c r="AX68" s="49"/>
      <c r="AY68" s="49"/>
      <c r="AZ68" s="49"/>
      <c r="BA68" s="49"/>
      <c r="BB68" s="49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51"/>
      <c r="EF68" s="51"/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51"/>
      <c r="ET68" s="51"/>
      <c r="EU68" s="51"/>
      <c r="EV68" s="51"/>
      <c r="EW68" s="51"/>
      <c r="EX68" s="51"/>
      <c r="EY68" s="51"/>
      <c r="EZ68" s="51"/>
      <c r="FA68" s="51"/>
      <c r="FB68" s="51"/>
      <c r="FC68" s="51"/>
      <c r="FD68" s="51"/>
      <c r="FE68" s="51"/>
      <c r="FF68" s="51"/>
      <c r="FG68" s="51"/>
      <c r="FH68" s="51"/>
      <c r="FI68" s="51"/>
      <c r="FJ68" s="51"/>
      <c r="FK68" s="51"/>
      <c r="FL68" s="51"/>
      <c r="FM68" s="51"/>
      <c r="FN68" s="51"/>
      <c r="FO68" s="51"/>
      <c r="FP68" s="51"/>
      <c r="FQ68" s="51"/>
      <c r="FR68" s="51"/>
      <c r="FS68" s="51"/>
      <c r="FT68" s="51"/>
      <c r="FU68" s="51"/>
      <c r="FV68" s="51"/>
      <c r="FW68" s="51"/>
      <c r="FX68" s="51"/>
      <c r="FY68" s="51"/>
      <c r="FZ68" s="51"/>
      <c r="GA68" s="51"/>
      <c r="GB68" s="51"/>
      <c r="GC68" s="51"/>
      <c r="GD68" s="51"/>
      <c r="GE68" s="51"/>
      <c r="GF68" s="51"/>
      <c r="GG68" s="51"/>
      <c r="GH68" s="51"/>
      <c r="GI68" s="51"/>
      <c r="GJ68" s="51"/>
      <c r="GK68" s="51"/>
      <c r="GL68" s="51"/>
      <c r="GM68" s="51"/>
      <c r="GN68" s="51"/>
      <c r="GO68" s="51"/>
      <c r="GP68" s="51"/>
      <c r="GQ68" s="51"/>
      <c r="GR68" s="51"/>
      <c r="GS68" s="51"/>
      <c r="GT68" s="51"/>
      <c r="GU68" s="51"/>
      <c r="GV68" s="51"/>
      <c r="GW68" s="51"/>
      <c r="GX68" s="51"/>
      <c r="GY68" s="51"/>
      <c r="GZ68" s="52"/>
      <c r="HA68" s="52"/>
      <c r="HB68" s="52"/>
      <c r="HC68" s="52"/>
      <c r="HD68" s="52"/>
      <c r="HE68" s="52"/>
      <c r="HF68" s="52"/>
      <c r="HG68" s="52"/>
      <c r="HH68" s="52"/>
    </row>
    <row r="69">
      <c r="A69" s="162"/>
      <c r="B69" s="69"/>
      <c r="C69" s="81" t="s">
        <v>17</v>
      </c>
      <c r="F69" s="81" t="s">
        <v>22</v>
      </c>
      <c r="K69" s="70"/>
      <c r="L69" s="261"/>
      <c r="M69" s="164"/>
      <c r="N69" s="164"/>
      <c r="O69" s="164"/>
      <c r="P69" s="164"/>
      <c r="Q69" s="262"/>
      <c r="R69" s="166" t="b">
        <v>0</v>
      </c>
      <c r="S69" s="263"/>
      <c r="T69" s="164"/>
      <c r="U69" s="164"/>
      <c r="V69" s="164"/>
      <c r="W69" s="164"/>
      <c r="X69" s="262"/>
      <c r="Y69" s="264" t="b">
        <v>0</v>
      </c>
      <c r="Z69" s="163"/>
      <c r="AA69" s="164"/>
      <c r="AB69" s="164"/>
      <c r="AC69" s="164"/>
      <c r="AD69" s="164"/>
      <c r="AE69" s="262"/>
      <c r="AF69" s="280" t="b">
        <v>0</v>
      </c>
      <c r="AG69" s="163"/>
      <c r="AH69" s="164"/>
      <c r="AI69" s="164"/>
      <c r="AJ69" s="164"/>
      <c r="AK69" s="164"/>
      <c r="AL69" s="262"/>
      <c r="AM69" s="269" t="b">
        <v>0</v>
      </c>
      <c r="AN69" s="163"/>
      <c r="AO69" s="164"/>
      <c r="AP69" s="164"/>
      <c r="AQ69" s="164"/>
      <c r="AR69" s="164"/>
      <c r="AS69" s="262"/>
      <c r="AT69" s="267" t="b">
        <v>0</v>
      </c>
      <c r="AU69" s="276" t="s">
        <v>22</v>
      </c>
      <c r="AW69" s="70"/>
      <c r="AX69" s="49"/>
      <c r="AY69" s="49"/>
      <c r="AZ69" s="49"/>
      <c r="BA69" s="49"/>
      <c r="BB69" s="49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51"/>
      <c r="EF69" s="51"/>
      <c r="EG69" s="51"/>
      <c r="EH69" s="51"/>
      <c r="EI69" s="51"/>
      <c r="EJ69" s="51"/>
      <c r="EK69" s="51"/>
      <c r="EL69" s="51"/>
      <c r="EM69" s="51"/>
      <c r="EN69" s="51"/>
      <c r="EO69" s="51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51"/>
      <c r="FK69" s="51"/>
      <c r="FL69" s="51"/>
      <c r="FM69" s="51"/>
      <c r="FN69" s="51"/>
      <c r="FO69" s="51"/>
      <c r="FP69" s="51"/>
      <c r="FQ69" s="51"/>
      <c r="FR69" s="51"/>
      <c r="FS69" s="51"/>
      <c r="FT69" s="51"/>
      <c r="FU69" s="51"/>
      <c r="FV69" s="51"/>
      <c r="FW69" s="51"/>
      <c r="FX69" s="51"/>
      <c r="FY69" s="51"/>
      <c r="FZ69" s="51"/>
      <c r="GA69" s="51"/>
      <c r="GB69" s="51"/>
      <c r="GC69" s="51"/>
      <c r="GD69" s="51"/>
      <c r="GE69" s="51"/>
      <c r="GF69" s="51"/>
      <c r="GG69" s="51"/>
      <c r="GH69" s="51"/>
      <c r="GI69" s="51"/>
      <c r="GJ69" s="51"/>
      <c r="GK69" s="51"/>
      <c r="GL69" s="51"/>
      <c r="GM69" s="51"/>
      <c r="GN69" s="51"/>
      <c r="GO69" s="51"/>
      <c r="GP69" s="51"/>
      <c r="GQ69" s="51"/>
      <c r="GR69" s="51"/>
      <c r="GS69" s="51"/>
      <c r="GT69" s="51"/>
      <c r="GU69" s="51"/>
      <c r="GV69" s="51"/>
      <c r="GW69" s="51"/>
      <c r="GX69" s="51"/>
      <c r="GY69" s="51"/>
      <c r="GZ69" s="52"/>
      <c r="HA69" s="52"/>
      <c r="HB69" s="52"/>
      <c r="HC69" s="52"/>
      <c r="HD69" s="52"/>
      <c r="HE69" s="52"/>
      <c r="HF69" s="52"/>
      <c r="HG69" s="52"/>
      <c r="HH69" s="52"/>
    </row>
    <row r="70">
      <c r="A70" s="162"/>
      <c r="B70" s="271"/>
      <c r="C70" s="272"/>
      <c r="D70" s="272"/>
      <c r="E70" s="272"/>
      <c r="F70" s="272"/>
      <c r="G70" s="272"/>
      <c r="H70" s="272"/>
      <c r="I70" s="272"/>
      <c r="J70" s="272"/>
      <c r="K70" s="273"/>
      <c r="L70" s="261"/>
      <c r="M70" s="164"/>
      <c r="N70" s="164"/>
      <c r="O70" s="164"/>
      <c r="P70" s="164"/>
      <c r="Q70" s="262"/>
      <c r="R70" s="166" t="b">
        <v>0</v>
      </c>
      <c r="S70" s="263"/>
      <c r="T70" s="164"/>
      <c r="U70" s="164"/>
      <c r="V70" s="164"/>
      <c r="W70" s="164"/>
      <c r="X70" s="262"/>
      <c r="Y70" s="264" t="b">
        <v>0</v>
      </c>
      <c r="Z70" s="163"/>
      <c r="AA70" s="164"/>
      <c r="AB70" s="164"/>
      <c r="AC70" s="164"/>
      <c r="AD70" s="164"/>
      <c r="AE70" s="262"/>
      <c r="AF70" s="277" t="b">
        <v>0</v>
      </c>
      <c r="AG70" s="163"/>
      <c r="AH70" s="164"/>
      <c r="AI70" s="164"/>
      <c r="AJ70" s="164"/>
      <c r="AK70" s="164"/>
      <c r="AL70" s="262"/>
      <c r="AM70" s="266" t="b">
        <v>0</v>
      </c>
      <c r="AN70" s="163"/>
      <c r="AO70" s="164"/>
      <c r="AP70" s="164"/>
      <c r="AQ70" s="164"/>
      <c r="AR70" s="164"/>
      <c r="AS70" s="262"/>
      <c r="AT70" s="267" t="b">
        <v>0</v>
      </c>
      <c r="AU70" s="270"/>
      <c r="AW70" s="70"/>
      <c r="AX70" s="49"/>
      <c r="AY70" s="49"/>
      <c r="AZ70" s="49"/>
      <c r="BA70" s="49"/>
      <c r="BB70" s="49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51"/>
      <c r="FK70" s="51"/>
      <c r="FL70" s="51"/>
      <c r="FM70" s="51"/>
      <c r="FN70" s="51"/>
      <c r="FO70" s="51"/>
      <c r="FP70" s="51"/>
      <c r="FQ70" s="51"/>
      <c r="FR70" s="51"/>
      <c r="FS70" s="51"/>
      <c r="FT70" s="51"/>
      <c r="FU70" s="51"/>
      <c r="FV70" s="51"/>
      <c r="FW70" s="51"/>
      <c r="FX70" s="51"/>
      <c r="FY70" s="51"/>
      <c r="FZ70" s="51"/>
      <c r="GA70" s="51"/>
      <c r="GB70" s="51"/>
      <c r="GC70" s="51"/>
      <c r="GD70" s="51"/>
      <c r="GE70" s="51"/>
      <c r="GF70" s="51"/>
      <c r="GG70" s="51"/>
      <c r="GH70" s="51"/>
      <c r="GI70" s="51"/>
      <c r="GJ70" s="51"/>
      <c r="GK70" s="51"/>
      <c r="GL70" s="51"/>
      <c r="GM70" s="51"/>
      <c r="GN70" s="51"/>
      <c r="GO70" s="51"/>
      <c r="GP70" s="51"/>
      <c r="GQ70" s="51"/>
      <c r="GR70" s="51"/>
      <c r="GS70" s="51"/>
      <c r="GT70" s="51"/>
      <c r="GU70" s="51"/>
      <c r="GV70" s="51"/>
      <c r="GW70" s="51"/>
      <c r="GX70" s="51"/>
      <c r="GY70" s="51"/>
      <c r="GZ70" s="52"/>
      <c r="HA70" s="52"/>
      <c r="HB70" s="52"/>
      <c r="HC70" s="52"/>
      <c r="HD70" s="52"/>
      <c r="HE70" s="52"/>
      <c r="HF70" s="52"/>
      <c r="HG70" s="52"/>
      <c r="HH70" s="52"/>
    </row>
    <row r="71">
      <c r="A71" s="162"/>
      <c r="B71" s="247" t="s">
        <v>14</v>
      </c>
      <c r="C71" s="281">
        <f>COUNTIF(AM59:AM78,TRUE)</f>
        <v>0</v>
      </c>
      <c r="D71" s="54"/>
      <c r="E71" s="54"/>
      <c r="F71" s="281">
        <f>COUNTA(AG59:AL78)</f>
        <v>0</v>
      </c>
      <c r="G71" s="54"/>
      <c r="H71" s="54"/>
      <c r="I71" s="282" t="str">
        <f>IFERROR(C71/F71,"")</f>
        <v/>
      </c>
      <c r="J71" s="54"/>
      <c r="K71" s="55"/>
      <c r="L71" s="250"/>
      <c r="M71" s="251"/>
      <c r="N71" s="251"/>
      <c r="O71" s="251"/>
      <c r="P71" s="251"/>
      <c r="Q71" s="251"/>
      <c r="R71" s="166" t="b">
        <v>0</v>
      </c>
      <c r="S71" s="263"/>
      <c r="T71" s="164"/>
      <c r="U71" s="164"/>
      <c r="V71" s="164"/>
      <c r="W71" s="164"/>
      <c r="X71" s="262"/>
      <c r="Y71" s="264" t="b">
        <v>0</v>
      </c>
      <c r="Z71" s="163"/>
      <c r="AA71" s="164"/>
      <c r="AB71" s="164"/>
      <c r="AC71" s="164"/>
      <c r="AD71" s="164"/>
      <c r="AE71" s="262"/>
      <c r="AF71" s="168" t="b">
        <v>0</v>
      </c>
      <c r="AG71" s="163"/>
      <c r="AH71" s="164"/>
      <c r="AI71" s="164"/>
      <c r="AJ71" s="164"/>
      <c r="AK71" s="164"/>
      <c r="AL71" s="262"/>
      <c r="AM71" s="269" t="b">
        <v>0</v>
      </c>
      <c r="AN71" s="163"/>
      <c r="AO71" s="164"/>
      <c r="AP71" s="164"/>
      <c r="AQ71" s="164"/>
      <c r="AR71" s="164"/>
      <c r="AS71" s="262"/>
      <c r="AT71" s="267" t="b">
        <v>0</v>
      </c>
      <c r="AU71" s="270"/>
      <c r="AW71" s="70"/>
      <c r="AX71" s="49"/>
      <c r="AY71" s="49"/>
      <c r="AZ71" s="49"/>
      <c r="BA71" s="49"/>
      <c r="BB71" s="49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  <c r="EJ71" s="51"/>
      <c r="EK71" s="51"/>
      <c r="EL71" s="51"/>
      <c r="EM71" s="51"/>
      <c r="EN71" s="51"/>
      <c r="EO71" s="51"/>
      <c r="EP71" s="51"/>
      <c r="EQ71" s="51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C71" s="51"/>
      <c r="FD71" s="51"/>
      <c r="FE71" s="51"/>
      <c r="FF71" s="51"/>
      <c r="FG71" s="51"/>
      <c r="FH71" s="51"/>
      <c r="FI71" s="51"/>
      <c r="FJ71" s="51"/>
      <c r="FK71" s="51"/>
      <c r="FL71" s="51"/>
      <c r="FM71" s="51"/>
      <c r="FN71" s="51"/>
      <c r="FO71" s="51"/>
      <c r="FP71" s="51"/>
      <c r="FQ71" s="51"/>
      <c r="FR71" s="51"/>
      <c r="FS71" s="51"/>
      <c r="FT71" s="51"/>
      <c r="FU71" s="51"/>
      <c r="FV71" s="51"/>
      <c r="FW71" s="51"/>
      <c r="FX71" s="51"/>
      <c r="FY71" s="51"/>
      <c r="FZ71" s="51"/>
      <c r="GA71" s="51"/>
      <c r="GB71" s="51"/>
      <c r="GC71" s="51"/>
      <c r="GD71" s="51"/>
      <c r="GE71" s="51"/>
      <c r="GF71" s="51"/>
      <c r="GG71" s="51"/>
      <c r="GH71" s="51"/>
      <c r="GI71" s="51"/>
      <c r="GJ71" s="51"/>
      <c r="GK71" s="51"/>
      <c r="GL71" s="51"/>
      <c r="GM71" s="51"/>
      <c r="GN71" s="51"/>
      <c r="GO71" s="51"/>
      <c r="GP71" s="51"/>
      <c r="GQ71" s="51"/>
      <c r="GR71" s="51"/>
      <c r="GS71" s="51"/>
      <c r="GT71" s="51"/>
      <c r="GU71" s="51"/>
      <c r="GV71" s="51"/>
      <c r="GW71" s="51"/>
      <c r="GX71" s="51"/>
      <c r="GY71" s="51"/>
      <c r="GZ71" s="52"/>
      <c r="HA71" s="52"/>
      <c r="HB71" s="52"/>
      <c r="HC71" s="52"/>
      <c r="HD71" s="52"/>
      <c r="HE71" s="52"/>
      <c r="HF71" s="52"/>
      <c r="HG71" s="52"/>
      <c r="HH71" s="52"/>
    </row>
    <row r="72">
      <c r="A72" s="162"/>
      <c r="B72" s="69"/>
      <c r="K72" s="70"/>
      <c r="L72" s="261"/>
      <c r="M72" s="164"/>
      <c r="N72" s="164"/>
      <c r="O72" s="164"/>
      <c r="P72" s="164"/>
      <c r="Q72" s="262"/>
      <c r="R72" s="166" t="b">
        <v>0</v>
      </c>
      <c r="S72" s="263"/>
      <c r="T72" s="164"/>
      <c r="U72" s="164"/>
      <c r="V72" s="164"/>
      <c r="W72" s="164"/>
      <c r="X72" s="262"/>
      <c r="Y72" s="264" t="b">
        <v>0</v>
      </c>
      <c r="Z72" s="163"/>
      <c r="AA72" s="164"/>
      <c r="AB72" s="164"/>
      <c r="AC72" s="164"/>
      <c r="AD72" s="164"/>
      <c r="AE72" s="262"/>
      <c r="AF72" s="277" t="b">
        <v>0</v>
      </c>
      <c r="AG72" s="163"/>
      <c r="AH72" s="164"/>
      <c r="AI72" s="164"/>
      <c r="AJ72" s="164"/>
      <c r="AK72" s="164"/>
      <c r="AL72" s="262"/>
      <c r="AM72" s="269" t="b">
        <v>0</v>
      </c>
      <c r="AN72" s="255"/>
      <c r="AO72" s="251"/>
      <c r="AP72" s="251"/>
      <c r="AQ72" s="251"/>
      <c r="AR72" s="251"/>
      <c r="AS72" s="251"/>
      <c r="AT72" s="267" t="b">
        <v>0</v>
      </c>
      <c r="AU72" s="283" t="str">
        <f>IFERROR(AU60/AU66,"")</f>
        <v/>
      </c>
      <c r="AW72" s="70"/>
      <c r="AX72" s="49"/>
      <c r="AY72" s="49"/>
      <c r="AZ72" s="49"/>
      <c r="BA72" s="49"/>
      <c r="BB72" s="49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1"/>
      <c r="FM72" s="51"/>
      <c r="FN72" s="51"/>
      <c r="FO72" s="51"/>
      <c r="FP72" s="51"/>
      <c r="FQ72" s="51"/>
      <c r="FR72" s="51"/>
      <c r="FS72" s="51"/>
      <c r="FT72" s="51"/>
      <c r="FU72" s="51"/>
      <c r="FV72" s="51"/>
      <c r="FW72" s="51"/>
      <c r="FX72" s="51"/>
      <c r="FY72" s="51"/>
      <c r="FZ72" s="51"/>
      <c r="GA72" s="51"/>
      <c r="GB72" s="51"/>
      <c r="GC72" s="51"/>
      <c r="GD72" s="51"/>
      <c r="GE72" s="51"/>
      <c r="GF72" s="51"/>
      <c r="GG72" s="51"/>
      <c r="GH72" s="51"/>
      <c r="GI72" s="51"/>
      <c r="GJ72" s="51"/>
      <c r="GK72" s="51"/>
      <c r="GL72" s="51"/>
      <c r="GM72" s="51"/>
      <c r="GN72" s="51"/>
      <c r="GO72" s="51"/>
      <c r="GP72" s="51"/>
      <c r="GQ72" s="51"/>
      <c r="GR72" s="51"/>
      <c r="GS72" s="51"/>
      <c r="GT72" s="51"/>
      <c r="GU72" s="51"/>
      <c r="GV72" s="51"/>
      <c r="GW72" s="51"/>
      <c r="GX72" s="51"/>
      <c r="GY72" s="51"/>
      <c r="GZ72" s="52"/>
      <c r="HA72" s="52"/>
      <c r="HB72" s="52"/>
      <c r="HC72" s="52"/>
      <c r="HD72" s="52"/>
      <c r="HE72" s="52"/>
      <c r="HF72" s="52"/>
      <c r="HG72" s="52"/>
      <c r="HH72" s="52"/>
    </row>
    <row r="73">
      <c r="A73" s="162"/>
      <c r="B73" s="69"/>
      <c r="C73" s="81" t="s">
        <v>17</v>
      </c>
      <c r="F73" s="81" t="s">
        <v>22</v>
      </c>
      <c r="K73" s="70"/>
      <c r="L73" s="261"/>
      <c r="M73" s="164"/>
      <c r="N73" s="164"/>
      <c r="O73" s="164"/>
      <c r="P73" s="164"/>
      <c r="Q73" s="262"/>
      <c r="R73" s="166" t="b">
        <v>0</v>
      </c>
      <c r="S73" s="263"/>
      <c r="T73" s="164"/>
      <c r="U73" s="164"/>
      <c r="V73" s="164"/>
      <c r="W73" s="164"/>
      <c r="X73" s="262"/>
      <c r="Y73" s="264" t="b">
        <v>0</v>
      </c>
      <c r="Z73" s="163"/>
      <c r="AA73" s="164"/>
      <c r="AB73" s="164"/>
      <c r="AC73" s="164"/>
      <c r="AD73" s="164"/>
      <c r="AE73" s="262"/>
      <c r="AF73" s="280" t="b">
        <v>0</v>
      </c>
      <c r="AG73" s="163"/>
      <c r="AH73" s="164"/>
      <c r="AI73" s="164"/>
      <c r="AJ73" s="164"/>
      <c r="AK73" s="164"/>
      <c r="AL73" s="262"/>
      <c r="AM73" s="269" t="b">
        <v>0</v>
      </c>
      <c r="AN73" s="163"/>
      <c r="AO73" s="164"/>
      <c r="AP73" s="164"/>
      <c r="AQ73" s="164"/>
      <c r="AR73" s="164"/>
      <c r="AS73" s="262"/>
      <c r="AT73" s="267" t="b">
        <v>0</v>
      </c>
      <c r="AU73" s="270"/>
      <c r="AW73" s="70"/>
      <c r="AX73" s="49"/>
      <c r="AY73" s="49"/>
      <c r="AZ73" s="49"/>
      <c r="BA73" s="49"/>
      <c r="BB73" s="49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  <c r="EJ73" s="51"/>
      <c r="EK73" s="51"/>
      <c r="EL73" s="51"/>
      <c r="EM73" s="51"/>
      <c r="EN73" s="51"/>
      <c r="EO73" s="51"/>
      <c r="EP73" s="51"/>
      <c r="EQ73" s="51"/>
      <c r="ER73" s="51"/>
      <c r="ES73" s="51"/>
      <c r="ET73" s="51"/>
      <c r="EU73" s="51"/>
      <c r="EV73" s="51"/>
      <c r="EW73" s="51"/>
      <c r="EX73" s="51"/>
      <c r="EY73" s="51"/>
      <c r="EZ73" s="51"/>
      <c r="FA73" s="51"/>
      <c r="FB73" s="51"/>
      <c r="FC73" s="51"/>
      <c r="FD73" s="51"/>
      <c r="FE73" s="51"/>
      <c r="FF73" s="51"/>
      <c r="FG73" s="51"/>
      <c r="FH73" s="51"/>
      <c r="FI73" s="51"/>
      <c r="FJ73" s="51"/>
      <c r="FK73" s="51"/>
      <c r="FL73" s="51"/>
      <c r="FM73" s="51"/>
      <c r="FN73" s="51"/>
      <c r="FO73" s="51"/>
      <c r="FP73" s="51"/>
      <c r="FQ73" s="51"/>
      <c r="FR73" s="51"/>
      <c r="FS73" s="51"/>
      <c r="FT73" s="51"/>
      <c r="FU73" s="51"/>
      <c r="FV73" s="51"/>
      <c r="FW73" s="51"/>
      <c r="FX73" s="51"/>
      <c r="FY73" s="51"/>
      <c r="FZ73" s="51"/>
      <c r="GA73" s="51"/>
      <c r="GB73" s="51"/>
      <c r="GC73" s="51"/>
      <c r="GD73" s="51"/>
      <c r="GE73" s="51"/>
      <c r="GF73" s="51"/>
      <c r="GG73" s="51"/>
      <c r="GH73" s="51"/>
      <c r="GI73" s="51"/>
      <c r="GJ73" s="51"/>
      <c r="GK73" s="51"/>
      <c r="GL73" s="51"/>
      <c r="GM73" s="51"/>
      <c r="GN73" s="51"/>
      <c r="GO73" s="51"/>
      <c r="GP73" s="51"/>
      <c r="GQ73" s="51"/>
      <c r="GR73" s="51"/>
      <c r="GS73" s="51"/>
      <c r="GT73" s="51"/>
      <c r="GU73" s="51"/>
      <c r="GV73" s="51"/>
      <c r="GW73" s="51"/>
      <c r="GX73" s="51"/>
      <c r="GY73" s="51"/>
      <c r="GZ73" s="52"/>
      <c r="HA73" s="52"/>
      <c r="HB73" s="52"/>
      <c r="HC73" s="52"/>
      <c r="HD73" s="52"/>
      <c r="HE73" s="52"/>
      <c r="HF73" s="52"/>
      <c r="HG73" s="52"/>
      <c r="HH73" s="52"/>
    </row>
    <row r="74">
      <c r="A74" s="162"/>
      <c r="B74" s="271"/>
      <c r="C74" s="272"/>
      <c r="D74" s="272"/>
      <c r="E74" s="272"/>
      <c r="F74" s="272"/>
      <c r="G74" s="272"/>
      <c r="H74" s="272"/>
      <c r="I74" s="272"/>
      <c r="J74" s="272"/>
      <c r="K74" s="273"/>
      <c r="L74" s="261"/>
      <c r="M74" s="164"/>
      <c r="N74" s="164"/>
      <c r="O74" s="164"/>
      <c r="P74" s="164"/>
      <c r="Q74" s="262"/>
      <c r="R74" s="166" t="b">
        <v>0</v>
      </c>
      <c r="S74" s="263"/>
      <c r="T74" s="164"/>
      <c r="U74" s="164"/>
      <c r="V74" s="164"/>
      <c r="W74" s="164"/>
      <c r="X74" s="262"/>
      <c r="Y74" s="264" t="b">
        <v>0</v>
      </c>
      <c r="Z74" s="163"/>
      <c r="AA74" s="164"/>
      <c r="AB74" s="164"/>
      <c r="AC74" s="164"/>
      <c r="AD74" s="164"/>
      <c r="AE74" s="262"/>
      <c r="AF74" s="265" t="b">
        <v>0</v>
      </c>
      <c r="AG74" s="262"/>
      <c r="AH74" s="164"/>
      <c r="AI74" s="164"/>
      <c r="AJ74" s="164"/>
      <c r="AK74" s="164"/>
      <c r="AL74" s="164"/>
      <c r="AM74" s="269" t="b">
        <v>0</v>
      </c>
      <c r="AN74" s="163"/>
      <c r="AO74" s="164"/>
      <c r="AP74" s="164"/>
      <c r="AQ74" s="164"/>
      <c r="AR74" s="164"/>
      <c r="AS74" s="262"/>
      <c r="AT74" s="267" t="b">
        <v>0</v>
      </c>
      <c r="AU74" s="270"/>
      <c r="AW74" s="70"/>
      <c r="AX74" s="49"/>
      <c r="AY74" s="49"/>
      <c r="AZ74" s="49"/>
      <c r="BA74" s="49"/>
      <c r="BB74" s="49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  <c r="EJ74" s="51"/>
      <c r="EK74" s="51"/>
      <c r="EL74" s="51"/>
      <c r="EM74" s="51"/>
      <c r="EN74" s="51"/>
      <c r="EO74" s="51"/>
      <c r="EP74" s="51"/>
      <c r="EQ74" s="51"/>
      <c r="ER74" s="51"/>
      <c r="ES74" s="51"/>
      <c r="ET74" s="51"/>
      <c r="EU74" s="51"/>
      <c r="EV74" s="51"/>
      <c r="EW74" s="51"/>
      <c r="EX74" s="51"/>
      <c r="EY74" s="51"/>
      <c r="EZ74" s="51"/>
      <c r="FA74" s="51"/>
      <c r="FB74" s="51"/>
      <c r="FC74" s="51"/>
      <c r="FD74" s="51"/>
      <c r="FE74" s="51"/>
      <c r="FF74" s="51"/>
      <c r="FG74" s="51"/>
      <c r="FH74" s="51"/>
      <c r="FI74" s="51"/>
      <c r="FJ74" s="51"/>
      <c r="FK74" s="51"/>
      <c r="FL74" s="51"/>
      <c r="FM74" s="51"/>
      <c r="FN74" s="51"/>
      <c r="FO74" s="51"/>
      <c r="FP74" s="51"/>
      <c r="FQ74" s="51"/>
      <c r="FR74" s="51"/>
      <c r="FS74" s="51"/>
      <c r="FT74" s="51"/>
      <c r="FU74" s="51"/>
      <c r="FV74" s="51"/>
      <c r="FW74" s="51"/>
      <c r="FX74" s="51"/>
      <c r="FY74" s="51"/>
      <c r="FZ74" s="51"/>
      <c r="GA74" s="51"/>
      <c r="GB74" s="51"/>
      <c r="GC74" s="51"/>
      <c r="GD74" s="51"/>
      <c r="GE74" s="51"/>
      <c r="GF74" s="51"/>
      <c r="GG74" s="51"/>
      <c r="GH74" s="51"/>
      <c r="GI74" s="51"/>
      <c r="GJ74" s="51"/>
      <c r="GK74" s="51"/>
      <c r="GL74" s="51"/>
      <c r="GM74" s="51"/>
      <c r="GN74" s="51"/>
      <c r="GO74" s="51"/>
      <c r="GP74" s="51"/>
      <c r="GQ74" s="51"/>
      <c r="GR74" s="51"/>
      <c r="GS74" s="51"/>
      <c r="GT74" s="51"/>
      <c r="GU74" s="51"/>
      <c r="GV74" s="51"/>
      <c r="GW74" s="51"/>
      <c r="GX74" s="51"/>
      <c r="GY74" s="51"/>
      <c r="GZ74" s="52"/>
      <c r="HA74" s="52"/>
      <c r="HB74" s="52"/>
      <c r="HC74" s="52"/>
      <c r="HD74" s="52"/>
      <c r="HE74" s="52"/>
      <c r="HF74" s="52"/>
      <c r="HG74" s="52"/>
      <c r="HH74" s="52"/>
    </row>
    <row r="75">
      <c r="A75" s="162"/>
      <c r="B75" s="247" t="s">
        <v>15</v>
      </c>
      <c r="C75" s="284">
        <f>COUNTIF(AT59:AT78,TRUE)</f>
        <v>0</v>
      </c>
      <c r="F75" s="284">
        <f>COUNTA(AN59:AS78)</f>
        <v>0</v>
      </c>
      <c r="I75" s="285" t="str">
        <f>IFERROR(C75/F75,"")</f>
        <v/>
      </c>
      <c r="J75" s="54"/>
      <c r="K75" s="55"/>
      <c r="L75" s="286"/>
      <c r="M75" s="164"/>
      <c r="N75" s="164"/>
      <c r="O75" s="164"/>
      <c r="P75" s="164"/>
      <c r="Q75" s="164"/>
      <c r="R75" s="166" t="b">
        <v>0</v>
      </c>
      <c r="S75" s="263"/>
      <c r="T75" s="164"/>
      <c r="U75" s="164"/>
      <c r="V75" s="164"/>
      <c r="W75" s="164"/>
      <c r="X75" s="262"/>
      <c r="Y75" s="264" t="b">
        <v>0</v>
      </c>
      <c r="Z75" s="163"/>
      <c r="AA75" s="164"/>
      <c r="AB75" s="164"/>
      <c r="AC75" s="164"/>
      <c r="AD75" s="164"/>
      <c r="AE75" s="262"/>
      <c r="AF75" s="280" t="b">
        <v>0</v>
      </c>
      <c r="AG75" s="262"/>
      <c r="AH75" s="164"/>
      <c r="AI75" s="164"/>
      <c r="AJ75" s="164"/>
      <c r="AK75" s="164"/>
      <c r="AL75" s="164"/>
      <c r="AM75" s="269" t="b">
        <v>0</v>
      </c>
      <c r="AN75" s="262"/>
      <c r="AO75" s="164"/>
      <c r="AP75" s="164"/>
      <c r="AQ75" s="164"/>
      <c r="AR75" s="164"/>
      <c r="AS75" s="164"/>
      <c r="AT75" s="267" t="b">
        <v>0</v>
      </c>
      <c r="AU75" s="270"/>
      <c r="AW75" s="70"/>
      <c r="AX75" s="49"/>
      <c r="AY75" s="49"/>
      <c r="AZ75" s="49"/>
      <c r="BA75" s="49"/>
      <c r="BB75" s="49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  <c r="EJ75" s="51"/>
      <c r="EK75" s="51"/>
      <c r="EL75" s="51"/>
      <c r="EM75" s="51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51"/>
      <c r="FH75" s="51"/>
      <c r="FI75" s="51"/>
      <c r="FJ75" s="51"/>
      <c r="FK75" s="51"/>
      <c r="FL75" s="51"/>
      <c r="FM75" s="51"/>
      <c r="FN75" s="51"/>
      <c r="FO75" s="51"/>
      <c r="FP75" s="51"/>
      <c r="FQ75" s="51"/>
      <c r="FR75" s="51"/>
      <c r="FS75" s="51"/>
      <c r="FT75" s="51"/>
      <c r="FU75" s="51"/>
      <c r="FV75" s="51"/>
      <c r="FW75" s="51"/>
      <c r="FX75" s="51"/>
      <c r="FY75" s="51"/>
      <c r="FZ75" s="51"/>
      <c r="GA75" s="51"/>
      <c r="GB75" s="51"/>
      <c r="GC75" s="51"/>
      <c r="GD75" s="51"/>
      <c r="GE75" s="51"/>
      <c r="GF75" s="51"/>
      <c r="GG75" s="51"/>
      <c r="GH75" s="51"/>
      <c r="GI75" s="51"/>
      <c r="GJ75" s="51"/>
      <c r="GK75" s="51"/>
      <c r="GL75" s="51"/>
      <c r="GM75" s="51"/>
      <c r="GN75" s="51"/>
      <c r="GO75" s="51"/>
      <c r="GP75" s="51"/>
      <c r="GQ75" s="51"/>
      <c r="GR75" s="51"/>
      <c r="GS75" s="51"/>
      <c r="GT75" s="51"/>
      <c r="GU75" s="51"/>
      <c r="GV75" s="51"/>
      <c r="GW75" s="51"/>
      <c r="GX75" s="51"/>
      <c r="GY75" s="51"/>
      <c r="GZ75" s="52"/>
      <c r="HA75" s="52"/>
      <c r="HB75" s="52"/>
      <c r="HC75" s="52"/>
      <c r="HD75" s="52"/>
      <c r="HE75" s="52"/>
      <c r="HF75" s="52"/>
      <c r="HG75" s="52"/>
      <c r="HH75" s="52"/>
    </row>
    <row r="76">
      <c r="A76" s="162"/>
      <c r="B76" s="69"/>
      <c r="K76" s="70"/>
      <c r="L76" s="286"/>
      <c r="M76" s="164"/>
      <c r="N76" s="164"/>
      <c r="O76" s="164"/>
      <c r="P76" s="164"/>
      <c r="Q76" s="164"/>
      <c r="R76" s="166" t="b">
        <v>0</v>
      </c>
      <c r="S76" s="263"/>
      <c r="T76" s="164"/>
      <c r="U76" s="164"/>
      <c r="V76" s="164"/>
      <c r="W76" s="164"/>
      <c r="X76" s="262"/>
      <c r="Y76" s="264" t="b">
        <v>0</v>
      </c>
      <c r="Z76" s="163"/>
      <c r="AA76" s="164"/>
      <c r="AB76" s="164"/>
      <c r="AC76" s="164"/>
      <c r="AD76" s="164"/>
      <c r="AE76" s="262"/>
      <c r="AF76" s="280" t="b">
        <v>0</v>
      </c>
      <c r="AG76" s="262"/>
      <c r="AH76" s="164"/>
      <c r="AI76" s="164"/>
      <c r="AJ76" s="164"/>
      <c r="AK76" s="164"/>
      <c r="AL76" s="164"/>
      <c r="AM76" s="269" t="b">
        <v>0</v>
      </c>
      <c r="AN76" s="262"/>
      <c r="AO76" s="164"/>
      <c r="AP76" s="164"/>
      <c r="AQ76" s="164"/>
      <c r="AR76" s="164"/>
      <c r="AS76" s="164"/>
      <c r="AT76" s="267" t="b">
        <v>0</v>
      </c>
      <c r="AU76" s="270"/>
      <c r="AW76" s="70"/>
      <c r="AX76" s="49"/>
      <c r="AY76" s="49"/>
      <c r="AZ76" s="49"/>
      <c r="BA76" s="49"/>
      <c r="BB76" s="49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51"/>
      <c r="EA76" s="51"/>
      <c r="EB76" s="51"/>
      <c r="EC76" s="51"/>
      <c r="ED76" s="51"/>
      <c r="EE76" s="51"/>
      <c r="EF76" s="51"/>
      <c r="EG76" s="51"/>
      <c r="EH76" s="51"/>
      <c r="EI76" s="51"/>
      <c r="EJ76" s="51"/>
      <c r="EK76" s="51"/>
      <c r="EL76" s="51"/>
      <c r="EM76" s="51"/>
      <c r="EN76" s="51"/>
      <c r="EO76" s="51"/>
      <c r="EP76" s="51"/>
      <c r="EQ76" s="51"/>
      <c r="ER76" s="51"/>
      <c r="ES76" s="51"/>
      <c r="ET76" s="51"/>
      <c r="EU76" s="51"/>
      <c r="EV76" s="51"/>
      <c r="EW76" s="51"/>
      <c r="EX76" s="51"/>
      <c r="EY76" s="51"/>
      <c r="EZ76" s="51"/>
      <c r="FA76" s="51"/>
      <c r="FB76" s="51"/>
      <c r="FC76" s="51"/>
      <c r="FD76" s="51"/>
      <c r="FE76" s="51"/>
      <c r="FF76" s="51"/>
      <c r="FG76" s="51"/>
      <c r="FH76" s="51"/>
      <c r="FI76" s="51"/>
      <c r="FJ76" s="51"/>
      <c r="FK76" s="51"/>
      <c r="FL76" s="51"/>
      <c r="FM76" s="51"/>
      <c r="FN76" s="51"/>
      <c r="FO76" s="51"/>
      <c r="FP76" s="51"/>
      <c r="FQ76" s="51"/>
      <c r="FR76" s="51"/>
      <c r="FS76" s="51"/>
      <c r="FT76" s="51"/>
      <c r="FU76" s="51"/>
      <c r="FV76" s="51"/>
      <c r="FW76" s="51"/>
      <c r="FX76" s="51"/>
      <c r="FY76" s="51"/>
      <c r="FZ76" s="51"/>
      <c r="GA76" s="51"/>
      <c r="GB76" s="51"/>
      <c r="GC76" s="51"/>
      <c r="GD76" s="51"/>
      <c r="GE76" s="51"/>
      <c r="GF76" s="51"/>
      <c r="GG76" s="51"/>
      <c r="GH76" s="51"/>
      <c r="GI76" s="51"/>
      <c r="GJ76" s="51"/>
      <c r="GK76" s="51"/>
      <c r="GL76" s="51"/>
      <c r="GM76" s="51"/>
      <c r="GN76" s="51"/>
      <c r="GO76" s="51"/>
      <c r="GP76" s="51"/>
      <c r="GQ76" s="51"/>
      <c r="GR76" s="51"/>
      <c r="GS76" s="51"/>
      <c r="GT76" s="51"/>
      <c r="GU76" s="51"/>
      <c r="GV76" s="51"/>
      <c r="GW76" s="51"/>
      <c r="GX76" s="51"/>
      <c r="GY76" s="51"/>
      <c r="GZ76" s="52"/>
      <c r="HA76" s="52"/>
      <c r="HB76" s="52"/>
      <c r="HC76" s="52"/>
      <c r="HD76" s="52"/>
      <c r="HE76" s="52"/>
      <c r="HF76" s="52"/>
      <c r="HG76" s="52"/>
      <c r="HH76" s="52"/>
    </row>
    <row r="77">
      <c r="A77" s="162"/>
      <c r="B77" s="69"/>
      <c r="C77" s="81" t="s">
        <v>17</v>
      </c>
      <c r="F77" s="81" t="s">
        <v>22</v>
      </c>
      <c r="K77" s="70"/>
      <c r="L77" s="286"/>
      <c r="M77" s="164"/>
      <c r="N77" s="164"/>
      <c r="O77" s="164"/>
      <c r="P77" s="164"/>
      <c r="Q77" s="164"/>
      <c r="R77" s="166" t="b">
        <v>0</v>
      </c>
      <c r="S77" s="287"/>
      <c r="T77" s="164"/>
      <c r="U77" s="164"/>
      <c r="V77" s="164"/>
      <c r="W77" s="164"/>
      <c r="X77" s="164"/>
      <c r="Y77" s="264" t="b">
        <v>0</v>
      </c>
      <c r="Z77" s="262"/>
      <c r="AA77" s="164"/>
      <c r="AB77" s="164"/>
      <c r="AC77" s="164"/>
      <c r="AD77" s="164"/>
      <c r="AE77" s="164"/>
      <c r="AF77" s="280" t="b">
        <v>0</v>
      </c>
      <c r="AG77" s="262"/>
      <c r="AH77" s="164"/>
      <c r="AI77" s="164"/>
      <c r="AJ77" s="164"/>
      <c r="AK77" s="164"/>
      <c r="AL77" s="164"/>
      <c r="AM77" s="269" t="b">
        <v>0</v>
      </c>
      <c r="AN77" s="262"/>
      <c r="AO77" s="164"/>
      <c r="AP77" s="164"/>
      <c r="AQ77" s="164"/>
      <c r="AR77" s="164"/>
      <c r="AS77" s="164"/>
      <c r="AT77" s="267" t="b">
        <v>0</v>
      </c>
      <c r="AU77" s="288"/>
      <c r="AV77" s="93"/>
      <c r="AW77" s="95"/>
      <c r="AX77" s="49"/>
      <c r="AY77" s="49"/>
      <c r="AZ77" s="49"/>
      <c r="BA77" s="49"/>
      <c r="BB77" s="49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51"/>
      <c r="EA77" s="51"/>
      <c r="EB77" s="51"/>
      <c r="EC77" s="51"/>
      <c r="ED77" s="51"/>
      <c r="EE77" s="51"/>
      <c r="EF77" s="51"/>
      <c r="EG77" s="51"/>
      <c r="EH77" s="51"/>
      <c r="EI77" s="51"/>
      <c r="EJ77" s="51"/>
      <c r="EK77" s="51"/>
      <c r="EL77" s="51"/>
      <c r="EM77" s="51"/>
      <c r="EN77" s="51"/>
      <c r="EO77" s="51"/>
      <c r="EP77" s="51"/>
      <c r="EQ77" s="51"/>
      <c r="ER77" s="51"/>
      <c r="ES77" s="51"/>
      <c r="ET77" s="51"/>
      <c r="EU77" s="51"/>
      <c r="EV77" s="51"/>
      <c r="EW77" s="51"/>
      <c r="EX77" s="51"/>
      <c r="EY77" s="51"/>
      <c r="EZ77" s="51"/>
      <c r="FA77" s="51"/>
      <c r="FB77" s="51"/>
      <c r="FC77" s="51"/>
      <c r="FD77" s="51"/>
      <c r="FE77" s="51"/>
      <c r="FF77" s="51"/>
      <c r="FG77" s="51"/>
      <c r="FH77" s="51"/>
      <c r="FI77" s="51"/>
      <c r="FJ77" s="51"/>
      <c r="FK77" s="51"/>
      <c r="FL77" s="51"/>
      <c r="FM77" s="51"/>
      <c r="FN77" s="51"/>
      <c r="FO77" s="51"/>
      <c r="FP77" s="51"/>
      <c r="FQ77" s="51"/>
      <c r="FR77" s="51"/>
      <c r="FS77" s="51"/>
      <c r="FT77" s="51"/>
      <c r="FU77" s="51"/>
      <c r="FV77" s="51"/>
      <c r="FW77" s="51"/>
      <c r="FX77" s="51"/>
      <c r="FY77" s="51"/>
      <c r="FZ77" s="51"/>
      <c r="GA77" s="51"/>
      <c r="GB77" s="51"/>
      <c r="GC77" s="51"/>
      <c r="GD77" s="51"/>
      <c r="GE77" s="51"/>
      <c r="GF77" s="51"/>
      <c r="GG77" s="51"/>
      <c r="GH77" s="51"/>
      <c r="GI77" s="51"/>
      <c r="GJ77" s="51"/>
      <c r="GK77" s="51"/>
      <c r="GL77" s="51"/>
      <c r="GM77" s="51"/>
      <c r="GN77" s="51"/>
      <c r="GO77" s="51"/>
      <c r="GP77" s="51"/>
      <c r="GQ77" s="51"/>
      <c r="GR77" s="51"/>
      <c r="GS77" s="51"/>
      <c r="GT77" s="51"/>
      <c r="GU77" s="51"/>
      <c r="GV77" s="51"/>
      <c r="GW77" s="51"/>
      <c r="GX77" s="51"/>
      <c r="GY77" s="51"/>
      <c r="GZ77" s="52"/>
      <c r="HA77" s="52"/>
      <c r="HB77" s="52"/>
      <c r="HC77" s="52"/>
      <c r="HD77" s="52"/>
      <c r="HE77" s="52"/>
      <c r="HF77" s="52"/>
      <c r="HG77" s="52"/>
      <c r="HH77" s="52"/>
    </row>
    <row r="78">
      <c r="A78" s="162"/>
      <c r="B78" s="88"/>
      <c r="C78" s="86"/>
      <c r="D78" s="86"/>
      <c r="E78" s="86"/>
      <c r="F78" s="86"/>
      <c r="G78" s="86"/>
      <c r="H78" s="86"/>
      <c r="I78" s="86"/>
      <c r="J78" s="86"/>
      <c r="K78" s="87"/>
      <c r="L78" s="289"/>
      <c r="M78" s="177"/>
      <c r="N78" s="177"/>
      <c r="O78" s="177"/>
      <c r="P78" s="177"/>
      <c r="Q78" s="177"/>
      <c r="R78" s="179" t="b">
        <v>0</v>
      </c>
      <c r="S78" s="290"/>
      <c r="T78" s="177"/>
      <c r="U78" s="177"/>
      <c r="V78" s="177"/>
      <c r="W78" s="177"/>
      <c r="X78" s="177"/>
      <c r="Y78" s="291" t="b">
        <v>0</v>
      </c>
      <c r="Z78" s="292"/>
      <c r="AA78" s="177"/>
      <c r="AB78" s="177"/>
      <c r="AC78" s="177"/>
      <c r="AD78" s="177"/>
      <c r="AE78" s="177"/>
      <c r="AF78" s="293" t="b">
        <v>0</v>
      </c>
      <c r="AG78" s="292"/>
      <c r="AH78" s="177"/>
      <c r="AI78" s="177"/>
      <c r="AJ78" s="177"/>
      <c r="AK78" s="177"/>
      <c r="AL78" s="177"/>
      <c r="AM78" s="294" t="b">
        <v>0</v>
      </c>
      <c r="AN78" s="292"/>
      <c r="AO78" s="177"/>
      <c r="AP78" s="177"/>
      <c r="AQ78" s="177"/>
      <c r="AR78" s="177"/>
      <c r="AS78" s="177"/>
      <c r="AT78" s="295" t="b">
        <v>0</v>
      </c>
      <c r="AU78" s="296"/>
      <c r="AV78" s="110"/>
      <c r="AW78" s="111"/>
      <c r="AX78" s="49"/>
      <c r="AY78" s="49"/>
      <c r="AZ78" s="49"/>
      <c r="BA78" s="49"/>
      <c r="BB78" s="49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1"/>
      <c r="FM78" s="51"/>
      <c r="FN78" s="51"/>
      <c r="FO78" s="51"/>
      <c r="FP78" s="51"/>
      <c r="FQ78" s="51"/>
      <c r="FR78" s="51"/>
      <c r="FS78" s="51"/>
      <c r="FT78" s="51"/>
      <c r="FU78" s="51"/>
      <c r="FV78" s="51"/>
      <c r="FW78" s="51"/>
      <c r="FX78" s="51"/>
      <c r="FY78" s="51"/>
      <c r="FZ78" s="51"/>
      <c r="GA78" s="51"/>
      <c r="GB78" s="51"/>
      <c r="GC78" s="51"/>
      <c r="GD78" s="51"/>
      <c r="GE78" s="51"/>
      <c r="GF78" s="51"/>
      <c r="GG78" s="51"/>
      <c r="GH78" s="51"/>
      <c r="GI78" s="51"/>
      <c r="GJ78" s="51"/>
      <c r="GK78" s="51"/>
      <c r="GL78" s="51"/>
      <c r="GM78" s="51"/>
      <c r="GN78" s="51"/>
      <c r="GO78" s="51"/>
      <c r="GP78" s="51"/>
      <c r="GQ78" s="51"/>
      <c r="GR78" s="51"/>
      <c r="GS78" s="51"/>
      <c r="GT78" s="51"/>
      <c r="GU78" s="51"/>
      <c r="GV78" s="51"/>
      <c r="GW78" s="51"/>
      <c r="GX78" s="51"/>
      <c r="GY78" s="51"/>
      <c r="GZ78" s="52"/>
      <c r="HA78" s="52"/>
      <c r="HB78" s="52"/>
      <c r="HC78" s="52"/>
      <c r="HD78" s="52"/>
      <c r="HE78" s="52"/>
      <c r="HF78" s="52"/>
      <c r="HG78" s="52"/>
      <c r="HH78" s="52"/>
    </row>
  </sheetData>
  <mergeCells count="299">
    <mergeCell ref="F61:H62"/>
    <mergeCell ref="F63:H64"/>
    <mergeCell ref="B51:K51"/>
    <mergeCell ref="B52:K52"/>
    <mergeCell ref="B53:K53"/>
    <mergeCell ref="B57:K58"/>
    <mergeCell ref="B59:B62"/>
    <mergeCell ref="F59:H60"/>
    <mergeCell ref="I59:K62"/>
    <mergeCell ref="F73:H74"/>
    <mergeCell ref="F75:H76"/>
    <mergeCell ref="I63:K66"/>
    <mergeCell ref="I67:K70"/>
    <mergeCell ref="C69:E70"/>
    <mergeCell ref="F69:H70"/>
    <mergeCell ref="B71:B74"/>
    <mergeCell ref="F71:H72"/>
    <mergeCell ref="I71:K74"/>
    <mergeCell ref="G43:I43"/>
    <mergeCell ref="J43:K43"/>
    <mergeCell ref="B41:F41"/>
    <mergeCell ref="G41:I41"/>
    <mergeCell ref="J41:K41"/>
    <mergeCell ref="B42:F42"/>
    <mergeCell ref="G42:I42"/>
    <mergeCell ref="J42:K42"/>
    <mergeCell ref="B43:F43"/>
    <mergeCell ref="G46:I46"/>
    <mergeCell ref="J46:K46"/>
    <mergeCell ref="B44:F44"/>
    <mergeCell ref="G44:I44"/>
    <mergeCell ref="J44:K44"/>
    <mergeCell ref="B45:F45"/>
    <mergeCell ref="G45:I45"/>
    <mergeCell ref="J45:K45"/>
    <mergeCell ref="B46:F46"/>
    <mergeCell ref="G49:I49"/>
    <mergeCell ref="J49:K49"/>
    <mergeCell ref="B47:F47"/>
    <mergeCell ref="G47:I47"/>
    <mergeCell ref="J47:K47"/>
    <mergeCell ref="B48:F48"/>
    <mergeCell ref="G48:I48"/>
    <mergeCell ref="J48:K48"/>
    <mergeCell ref="B49:F49"/>
    <mergeCell ref="C71:E72"/>
    <mergeCell ref="C73:E74"/>
    <mergeCell ref="B75:B78"/>
    <mergeCell ref="C75:E76"/>
    <mergeCell ref="I75:K78"/>
    <mergeCell ref="C77:E78"/>
    <mergeCell ref="F77:H78"/>
    <mergeCell ref="C65:E66"/>
    <mergeCell ref="C67:E68"/>
    <mergeCell ref="C59:E60"/>
    <mergeCell ref="C61:E62"/>
    <mergeCell ref="B63:B66"/>
    <mergeCell ref="C63:E64"/>
    <mergeCell ref="F65:H66"/>
    <mergeCell ref="B67:B70"/>
    <mergeCell ref="F67:H68"/>
    <mergeCell ref="AQ45:AR45"/>
    <mergeCell ref="AS45:AU45"/>
    <mergeCell ref="AV45:AW45"/>
    <mergeCell ref="AQ46:AR46"/>
    <mergeCell ref="AS46:AU46"/>
    <mergeCell ref="AV46:AW46"/>
    <mergeCell ref="AQ47:AR47"/>
    <mergeCell ref="AN57:AT58"/>
    <mergeCell ref="AU57:AW58"/>
    <mergeCell ref="AS47:AU47"/>
    <mergeCell ref="AV47:AW47"/>
    <mergeCell ref="B56:AW56"/>
    <mergeCell ref="L57:R58"/>
    <mergeCell ref="S57:Y58"/>
    <mergeCell ref="Z57:AF58"/>
    <mergeCell ref="AG57:AM58"/>
    <mergeCell ref="L59:Q59"/>
    <mergeCell ref="S59:X59"/>
    <mergeCell ref="Z59:AE59"/>
    <mergeCell ref="AN59:AS59"/>
    <mergeCell ref="S60:W60"/>
    <mergeCell ref="Z60:AD60"/>
    <mergeCell ref="AN60:AR60"/>
    <mergeCell ref="L63:Q63"/>
    <mergeCell ref="L64:P64"/>
    <mergeCell ref="L65:P65"/>
    <mergeCell ref="L66:P66"/>
    <mergeCell ref="L67:Q67"/>
    <mergeCell ref="L68:P68"/>
    <mergeCell ref="L69:P69"/>
    <mergeCell ref="L70:P70"/>
    <mergeCell ref="L60:P60"/>
    <mergeCell ref="L61:P61"/>
    <mergeCell ref="S61:W61"/>
    <mergeCell ref="Z61:AD61"/>
    <mergeCell ref="L62:P62"/>
    <mergeCell ref="Z62:AD62"/>
    <mergeCell ref="Z63:AD63"/>
    <mergeCell ref="AN69:AR69"/>
    <mergeCell ref="AN70:AR70"/>
    <mergeCell ref="Z68:AD68"/>
    <mergeCell ref="AG68:AK68"/>
    <mergeCell ref="AN68:AR68"/>
    <mergeCell ref="Z69:AD69"/>
    <mergeCell ref="AG69:AK69"/>
    <mergeCell ref="Z70:AD70"/>
    <mergeCell ref="AG70:AK70"/>
    <mergeCell ref="L2:S2"/>
    <mergeCell ref="Q3:S4"/>
    <mergeCell ref="AM2:AQ2"/>
    <mergeCell ref="AM3:AQ8"/>
    <mergeCell ref="L3:P8"/>
    <mergeCell ref="Q5:S5"/>
    <mergeCell ref="Q6:S6"/>
    <mergeCell ref="Q7:S7"/>
    <mergeCell ref="B2:J5"/>
    <mergeCell ref="U2:Y2"/>
    <mergeCell ref="AG2:AK2"/>
    <mergeCell ref="AS2:AW2"/>
    <mergeCell ref="U3:Y8"/>
    <mergeCell ref="AG3:AK8"/>
    <mergeCell ref="AS3:AW8"/>
    <mergeCell ref="Z10:AW10"/>
    <mergeCell ref="B6:J8"/>
    <mergeCell ref="B10:X10"/>
    <mergeCell ref="B26:K27"/>
    <mergeCell ref="L26:R27"/>
    <mergeCell ref="S26:Y27"/>
    <mergeCell ref="G28:I29"/>
    <mergeCell ref="J28:K29"/>
    <mergeCell ref="AA2:AE2"/>
    <mergeCell ref="AA3:AE8"/>
    <mergeCell ref="Z26:AF27"/>
    <mergeCell ref="AG26:AM27"/>
    <mergeCell ref="AN26:AP27"/>
    <mergeCell ref="AQ26:AW29"/>
    <mergeCell ref="AQ30:AR30"/>
    <mergeCell ref="AQ35:AR35"/>
    <mergeCell ref="AS35:AU35"/>
    <mergeCell ref="AV35:AW35"/>
    <mergeCell ref="B28:F29"/>
    <mergeCell ref="B30:F30"/>
    <mergeCell ref="G30:I30"/>
    <mergeCell ref="J30:K30"/>
    <mergeCell ref="B31:F31"/>
    <mergeCell ref="G31:I31"/>
    <mergeCell ref="J31:K31"/>
    <mergeCell ref="G34:I34"/>
    <mergeCell ref="J34:K34"/>
    <mergeCell ref="B32:F32"/>
    <mergeCell ref="G32:I32"/>
    <mergeCell ref="J32:K32"/>
    <mergeCell ref="B33:F33"/>
    <mergeCell ref="G33:I33"/>
    <mergeCell ref="J33:K33"/>
    <mergeCell ref="B34:F34"/>
    <mergeCell ref="G37:I37"/>
    <mergeCell ref="J37:K37"/>
    <mergeCell ref="B35:F35"/>
    <mergeCell ref="G35:I35"/>
    <mergeCell ref="J35:K35"/>
    <mergeCell ref="B36:F36"/>
    <mergeCell ref="G36:I36"/>
    <mergeCell ref="J36:K36"/>
    <mergeCell ref="B37:F37"/>
    <mergeCell ref="G40:I40"/>
    <mergeCell ref="J40:K40"/>
    <mergeCell ref="B38:F38"/>
    <mergeCell ref="G38:I38"/>
    <mergeCell ref="J38:K38"/>
    <mergeCell ref="B39:F39"/>
    <mergeCell ref="G39:I39"/>
    <mergeCell ref="J39:K39"/>
    <mergeCell ref="B40:F40"/>
    <mergeCell ref="AS44:AU44"/>
    <mergeCell ref="AV44:AW44"/>
    <mergeCell ref="AQ42:AR42"/>
    <mergeCell ref="AS42:AU42"/>
    <mergeCell ref="AV42:AW42"/>
    <mergeCell ref="AQ43:AR43"/>
    <mergeCell ref="AS43:AU43"/>
    <mergeCell ref="AV43:AW43"/>
    <mergeCell ref="AQ44:AR44"/>
    <mergeCell ref="AS30:AU30"/>
    <mergeCell ref="AV30:AW30"/>
    <mergeCell ref="AQ31:AR31"/>
    <mergeCell ref="AS31:AU31"/>
    <mergeCell ref="AV31:AW31"/>
    <mergeCell ref="AS32:AU32"/>
    <mergeCell ref="AV32:AW32"/>
    <mergeCell ref="AQ32:AR32"/>
    <mergeCell ref="AQ33:AR33"/>
    <mergeCell ref="AS33:AU33"/>
    <mergeCell ref="AV33:AW33"/>
    <mergeCell ref="AQ34:AR34"/>
    <mergeCell ref="AS34:AU34"/>
    <mergeCell ref="AV34:AW34"/>
    <mergeCell ref="AS38:AU38"/>
    <mergeCell ref="AV38:AW38"/>
    <mergeCell ref="AQ36:AR36"/>
    <mergeCell ref="AS36:AU36"/>
    <mergeCell ref="AV36:AW36"/>
    <mergeCell ref="AQ37:AR37"/>
    <mergeCell ref="AS37:AU37"/>
    <mergeCell ref="AV37:AW37"/>
    <mergeCell ref="AQ38:AR38"/>
    <mergeCell ref="AS41:AU41"/>
    <mergeCell ref="AV41:AW41"/>
    <mergeCell ref="AQ39:AR39"/>
    <mergeCell ref="AS39:AU39"/>
    <mergeCell ref="AV39:AW39"/>
    <mergeCell ref="AQ40:AR40"/>
    <mergeCell ref="AS40:AU40"/>
    <mergeCell ref="AV40:AW40"/>
    <mergeCell ref="AQ41:AR41"/>
    <mergeCell ref="AV51:AW53"/>
    <mergeCell ref="AS52:AU52"/>
    <mergeCell ref="AU60:AW62"/>
    <mergeCell ref="AU63:AW65"/>
    <mergeCell ref="AU66:AW68"/>
    <mergeCell ref="AU69:AW71"/>
    <mergeCell ref="AU72:AW76"/>
    <mergeCell ref="AQ48:AR48"/>
    <mergeCell ref="AS48:AU48"/>
    <mergeCell ref="AV48:AW48"/>
    <mergeCell ref="AQ49:AR49"/>
    <mergeCell ref="AS49:AU49"/>
    <mergeCell ref="AV49:AW49"/>
    <mergeCell ref="AQ51:AR53"/>
    <mergeCell ref="AG63:AK63"/>
    <mergeCell ref="AG64:AK64"/>
    <mergeCell ref="AG59:AK59"/>
    <mergeCell ref="AG60:AK60"/>
    <mergeCell ref="AG61:AK61"/>
    <mergeCell ref="AN61:AR61"/>
    <mergeCell ref="AG62:AK62"/>
    <mergeCell ref="AN62:AR62"/>
    <mergeCell ref="AN63:AR63"/>
    <mergeCell ref="AN64:AR64"/>
    <mergeCell ref="AG66:AK66"/>
    <mergeCell ref="AG67:AK67"/>
    <mergeCell ref="Z64:AD64"/>
    <mergeCell ref="Z65:AD65"/>
    <mergeCell ref="AG65:AK65"/>
    <mergeCell ref="AN65:AR65"/>
    <mergeCell ref="Z66:AD66"/>
    <mergeCell ref="AN66:AR66"/>
    <mergeCell ref="Z67:AD67"/>
    <mergeCell ref="AN67:AR67"/>
    <mergeCell ref="S62:W62"/>
    <mergeCell ref="S63:W63"/>
    <mergeCell ref="S64:W64"/>
    <mergeCell ref="S65:W65"/>
    <mergeCell ref="S66:W66"/>
    <mergeCell ref="S67:W67"/>
    <mergeCell ref="S68:W68"/>
    <mergeCell ref="S69:W69"/>
    <mergeCell ref="S70:W70"/>
    <mergeCell ref="L71:Q71"/>
    <mergeCell ref="Z71:AD71"/>
    <mergeCell ref="AN71:AR71"/>
    <mergeCell ref="L72:P72"/>
    <mergeCell ref="Z72:AD72"/>
    <mergeCell ref="AN72:AS72"/>
    <mergeCell ref="S71:W71"/>
    <mergeCell ref="S72:W72"/>
    <mergeCell ref="L73:P73"/>
    <mergeCell ref="S73:W73"/>
    <mergeCell ref="Z73:AD73"/>
    <mergeCell ref="S74:W74"/>
    <mergeCell ref="Z74:AD74"/>
    <mergeCell ref="AG75:AL75"/>
    <mergeCell ref="AG76:AL76"/>
    <mergeCell ref="AG77:AL77"/>
    <mergeCell ref="AG78:AL78"/>
    <mergeCell ref="L77:Q77"/>
    <mergeCell ref="S77:X77"/>
    <mergeCell ref="Z77:AE77"/>
    <mergeCell ref="L78:Q78"/>
    <mergeCell ref="S78:X78"/>
    <mergeCell ref="Z78:AE78"/>
    <mergeCell ref="L74:P74"/>
    <mergeCell ref="L75:Q75"/>
    <mergeCell ref="S75:W75"/>
    <mergeCell ref="Z75:AD75"/>
    <mergeCell ref="L76:Q76"/>
    <mergeCell ref="S76:W76"/>
    <mergeCell ref="Z76:AD76"/>
    <mergeCell ref="AN76:AS76"/>
    <mergeCell ref="AN77:AS77"/>
    <mergeCell ref="AN78:AS78"/>
    <mergeCell ref="AG71:AK71"/>
    <mergeCell ref="AG72:AK72"/>
    <mergeCell ref="AG73:AK73"/>
    <mergeCell ref="AN73:AR73"/>
    <mergeCell ref="AG74:AL74"/>
    <mergeCell ref="AN74:AR74"/>
    <mergeCell ref="AN75:AS75"/>
  </mergeCells>
  <conditionalFormatting sqref="AT59:AT78">
    <cfRule type="expression" dxfId="0" priority="1">
      <formula>AJ$29=""</formula>
    </cfRule>
  </conditionalFormatting>
  <conditionalFormatting sqref="L30:AP49">
    <cfRule type="expression" dxfId="0" priority="2">
      <formula>ISBLANK($B30)</formula>
    </cfRule>
  </conditionalFormatting>
  <conditionalFormatting sqref="AQ30:AY49 GO30:HH49 AZ49:GN49 AS52">
    <cfRule type="containsBlanks" dxfId="1" priority="3">
      <formula>LEN(TRIM(AQ30))=0</formula>
    </cfRule>
  </conditionalFormatting>
  <conditionalFormatting sqref="L28:AP29">
    <cfRule type="expression" dxfId="2" priority="4">
      <formula>L$29=TODAY()</formula>
    </cfRule>
  </conditionalFormatting>
  <conditionalFormatting sqref="AN30:AP49">
    <cfRule type="expression" dxfId="0" priority="5">
      <formula>AN$29=""</formula>
    </cfRule>
  </conditionalFormatting>
  <conditionalFormatting sqref="AN26:AP29 AN51:AP53 AN57:AP58">
    <cfRule type="containsBlanks" dxfId="3" priority="6">
      <formula>LEN(TRIM(AN26))=0</formula>
    </cfRule>
  </conditionalFormatting>
  <conditionalFormatting sqref="S51:Y53">
    <cfRule type="expression" dxfId="4" priority="7">
      <formula>S$53&gt;=1</formula>
    </cfRule>
  </conditionalFormatting>
  <conditionalFormatting sqref="Z51:AF53">
    <cfRule type="expression" dxfId="5" priority="8">
      <formula>Z$53&gt;=1</formula>
    </cfRule>
  </conditionalFormatting>
  <conditionalFormatting sqref="L51:R53">
    <cfRule type="expression" dxfId="6" priority="9">
      <formula>L$53&gt;=1</formula>
    </cfRule>
  </conditionalFormatting>
  <conditionalFormatting sqref="AG51:AM53">
    <cfRule type="expression" dxfId="7" priority="10">
      <formula>AG$53&gt;=1</formula>
    </cfRule>
  </conditionalFormatting>
  <conditionalFormatting sqref="AN51:AP53">
    <cfRule type="expression" dxfId="8" priority="11">
      <formula>AN$53&gt;=1</formula>
    </cfRule>
  </conditionalFormatting>
  <conditionalFormatting sqref="R59:R78 Y59:Y78 AF59:AF78 AM59:AM78 AT59:AT78">
    <cfRule type="expression" dxfId="0" priority="12">
      <formula>ISBLANK(L59)</formula>
    </cfRule>
  </conditionalFormatting>
  <conditionalFormatting sqref="B75:K78">
    <cfRule type="expression" dxfId="3" priority="13">
      <formula>$AN$57=""</formula>
    </cfRule>
  </conditionalFormatting>
  <conditionalFormatting sqref="AS2:AW8">
    <cfRule type="expression" dxfId="3" priority="14">
      <formula>$AN$57=""</formula>
    </cfRule>
  </conditionalFormatting>
  <dataValidations>
    <dataValidation type="list" allowBlank="1" showInputMessage="1" showErrorMessage="1" prompt="Click and enter a value from the list of items" sqref="G30:G49">
      <formula1>"Career 💼,Diet 🍎,Family ❣️,Fitness 💪,Health ❤️‍🩹,Money 💰,Productivity 🕺,Sleep 💤,Social 👫,Study 📚"</formula1>
    </dataValidation>
    <dataValidation type="custom" allowBlank="1" showDropDown="1" showInputMessage="1" showErrorMessage="1" prompt="Goal must not exceed total days in month." sqref="J30:J49">
      <formula1>$J30&lt;=$FL$7</formula1>
    </dataValidation>
  </dataValidations>
  <drawing r:id="rId1"/>
</worksheet>
</file>